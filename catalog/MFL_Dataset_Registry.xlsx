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mc:AlternateContent xmlns:mc="http://schemas.openxmlformats.org/markup-compatibility/2006">
    <mc:Choice Requires="x15">
      <x15ac:absPath xmlns:x15ac="http://schemas.microsoft.com/office/spreadsheetml/2010/11/ac" url="https://cgiar.sharepoint.com/sites/Alliance-CGIARMegaprogramonRegenerativeLandscapesandAgroecos/Shared Documents/MFL Spatial Analysis CoP/Geospatial-data-repository/"/>
    </mc:Choice>
  </mc:AlternateContent>
  <xr:revisionPtr revIDLastSave="1428" documentId="11_8D1E5A74BEF507FC02047AF805381E6BC2975FE2" xr6:coauthVersionLast="47" xr6:coauthVersionMax="47" xr10:uidLastSave="{0EC03C44-CECC-4DC2-A057-8EFD7A979799}"/>
  <bookViews>
    <workbookView xWindow="-108" yWindow="-108" windowWidth="23256" windowHeight="12456" tabRatio="500" firstSheet="2" activeTab="2" xr2:uid="{00000000-000D-0000-FFFF-FFFF00000000}"/>
  </bookViews>
  <sheets>
    <sheet name="Instructions" sheetId="1" r:id="rId1"/>
    <sheet name="Reference" sheetId="2" r:id="rId2"/>
    <sheet name=" Registry" sheetId="3" r:id="rId3"/>
  </sheets>
  <definedNames>
    <definedName name="_xlnm._FilterDatabase" localSheetId="2" hidden="1">' Registry'!$A$1:$W$103</definedName>
    <definedName name="_xlnm.Print_Titles" localSheetId="2">' Registry'!$1:$2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 i="3" l="1"/>
  <c r="A61" i="3"/>
  <c r="A4" i="3"/>
  <c r="A5" i="3"/>
  <c r="A6" i="3"/>
  <c r="A7" i="3"/>
  <c r="A8" i="3"/>
  <c r="A9" i="3"/>
  <c r="A10" i="3"/>
  <c r="A11" i="3"/>
  <c r="A12" i="3"/>
  <c r="A13" i="3"/>
  <c r="A14" i="3"/>
  <c r="A15" i="3"/>
  <c r="A16" i="3"/>
  <c r="A17" i="3"/>
  <c r="A18" i="3"/>
  <c r="A19" i="3"/>
  <c r="A20" i="3"/>
  <c r="A21" i="3"/>
  <c r="A22" i="3"/>
  <c r="A23" i="3"/>
  <c r="A24" i="3"/>
  <c r="A25" i="3"/>
  <c r="A26" i="3"/>
  <c r="A27" i="3"/>
  <c r="A3" i="3"/>
  <c r="A28" i="3"/>
  <c r="A29" i="3"/>
  <c r="A103" i="3"/>
  <c r="A102" i="3"/>
  <c r="A101" i="3"/>
  <c r="A100" i="3"/>
  <c r="A99" i="3"/>
  <c r="A98" i="3"/>
  <c r="A97" i="3"/>
  <c r="A96" i="3"/>
  <c r="A95" i="3"/>
  <c r="A94" i="3"/>
  <c r="A93" i="3"/>
  <c r="A92" i="3"/>
  <c r="A91" i="3"/>
  <c r="A90" i="3"/>
  <c r="A89" i="3"/>
  <c r="A88" i="3"/>
  <c r="A87" i="3"/>
  <c r="A86" i="3"/>
  <c r="A85" i="3"/>
  <c r="A84" i="3"/>
  <c r="A83" i="3"/>
  <c r="A82" i="3"/>
  <c r="A81" i="3"/>
  <c r="A80" i="3"/>
  <c r="A79" i="3"/>
  <c r="A78" i="3"/>
  <c r="A77" i="3"/>
  <c r="A76" i="3"/>
  <c r="A75" i="3"/>
  <c r="A74" i="3"/>
  <c r="A73" i="3"/>
  <c r="A72" i="3"/>
  <c r="A71" i="3"/>
  <c r="A70" i="3"/>
  <c r="A69" i="3"/>
  <c r="A68" i="3"/>
  <c r="A67" i="3"/>
  <c r="A66" i="3"/>
  <c r="A65" i="3"/>
  <c r="A64" i="3"/>
  <c r="A63" i="3"/>
  <c r="A62" i="3"/>
  <c r="A59" i="3"/>
  <c r="A58" i="3"/>
  <c r="A57" i="3"/>
  <c r="A56" i="3"/>
  <c r="A55" i="3"/>
  <c r="A53" i="3"/>
  <c r="A51" i="3"/>
  <c r="A50" i="3"/>
  <c r="A49" i="3"/>
  <c r="A47" i="3"/>
  <c r="A46" i="3"/>
  <c r="A45" i="3"/>
  <c r="A44" i="3"/>
  <c r="A43" i="3"/>
  <c r="A42" i="3"/>
  <c r="A41" i="3"/>
  <c r="A40" i="3"/>
  <c r="A39" i="3"/>
  <c r="A38" i="3"/>
  <c r="A37" i="3"/>
  <c r="A36" i="3"/>
  <c r="A35" i="3"/>
  <c r="A34" i="3"/>
  <c r="A33" i="3"/>
  <c r="A32" i="3"/>
  <c r="A31" i="3"/>
  <c r="A30" i="3"/>
</calcChain>
</file>

<file path=xl/sharedStrings.xml><?xml version="1.0" encoding="utf-8"?>
<sst xmlns="http://schemas.openxmlformats.org/spreadsheetml/2006/main" count="1021" uniqueCount="338">
  <si>
    <t>MFL Living Landscape — Geospatial Dataset Registry</t>
  </si>
  <si>
    <t>PURPOSE</t>
  </si>
  <si>
    <t>This tracker registers all geospatial datasets held by MFL Living Landscape partners across CGIAR centres. It is the interim metadata registry while the Alliance server is being set up. Data files stay at each centre — only metadata is recorded here.</t>
  </si>
  <si>
    <t>WHO FILLS IT IN</t>
  </si>
  <si>
    <t>One designated focal point per CGIAR centre. Each focal point registers datasets for their centre's Living Landscapes. Contact Lizeth Llanos (l.llanos@cgiar.org) if you need access or have questions.</t>
  </si>
  <si>
    <t>HOW TO ADD A RECORD</t>
  </si>
  <si>
    <r>
      <t xml:space="preserve">Go to the </t>
    </r>
    <r>
      <rPr>
        <b/>
        <i/>
        <sz val="10"/>
        <color rgb="FF404040"/>
        <rFont val="Calibri"/>
        <family val="2"/>
      </rPr>
      <t>Registry</t>
    </r>
    <r>
      <rPr>
        <sz val="10"/>
        <color rgb="FF404040"/>
        <rFont val="Calibri"/>
        <family val="2"/>
      </rPr>
      <t xml:space="preserve"> sheet. Find the first empty row after the last entry. Fill in all columns marked REQUIRED. The Record ID column is auto-filled by formula — do not edit it. Use the dropdowns for any column that has one. Save the file when you are done.</t>
    </r>
  </si>
  <si>
    <t>FILE NAMING</t>
  </si>
  <si>
    <r>
      <t xml:space="preserve">All file names must follow the convention:
[Country-code]_[THEME]_[year]_[SOURCE]_[version].[ext]
Example: KEN_LC_2023_ILRI_v1.tif
Landscape codes and theme abbreviations are in the </t>
    </r>
    <r>
      <rPr>
        <b/>
        <i/>
        <sz val="10"/>
        <color rgb="FF404040"/>
        <rFont val="Calibri"/>
        <family val="2"/>
      </rPr>
      <t>Reference</t>
    </r>
    <r>
      <rPr>
        <sz val="10"/>
        <color rgb="FF404040"/>
        <rFont val="Calibri"/>
        <family val="2"/>
      </rPr>
      <t xml:space="preserve"> sheet.</t>
    </r>
  </si>
  <si>
    <t>CONTROLLED FIELDS</t>
  </si>
  <si>
    <r>
      <t xml:space="preserve">Several columns use dropdown lists. Only values from the dropdown are accepted. All controlled vocabulary lists are in the  </t>
    </r>
    <r>
      <rPr>
        <b/>
        <i/>
        <sz val="10"/>
        <color rgb="FF404040"/>
        <rFont val="Calibri"/>
        <family val="2"/>
      </rPr>
      <t>Reference</t>
    </r>
    <r>
      <rPr>
        <sz val="10"/>
        <color rgb="FF404040"/>
        <rFont val="Calibri"/>
        <family val="2"/>
      </rPr>
      <t xml:space="preserve"> sheet. </t>
    </r>
    <r>
      <rPr>
        <b/>
        <u/>
        <sz val="10"/>
        <color theme="1"/>
        <rFont val="Calibri"/>
        <family val="2"/>
      </rPr>
      <t xml:space="preserve">If you need a value that is not in a list, please add it in the list from the </t>
    </r>
    <r>
      <rPr>
        <b/>
        <i/>
        <u/>
        <sz val="10"/>
        <color theme="1"/>
        <rFont val="Calibri"/>
        <family val="2"/>
      </rPr>
      <t>Reference</t>
    </r>
    <r>
      <rPr>
        <b/>
        <u/>
        <sz val="10"/>
        <color theme="1"/>
        <rFont val="Calibri"/>
        <family val="2"/>
      </rPr>
      <t xml:space="preserve"> sheet</t>
    </r>
  </si>
  <si>
    <t>Countries</t>
  </si>
  <si>
    <t>MFL Themes</t>
  </si>
  <si>
    <t>Data types</t>
  </si>
  <si>
    <t>CGIAR Centres / Sources</t>
  </si>
  <si>
    <t>Access levels</t>
  </si>
  <si>
    <t>Licenses</t>
  </si>
  <si>
    <t>Processing status</t>
  </si>
  <si>
    <t>Migration status</t>
  </si>
  <si>
    <t>Update frequency</t>
  </si>
  <si>
    <t>Kenya</t>
  </si>
  <si>
    <t>Boundaries / admin units</t>
  </si>
  <si>
    <t>Raster</t>
  </si>
  <si>
    <t>Alliance Bioversity-CIAT</t>
  </si>
  <si>
    <t>Open</t>
  </si>
  <si>
    <t>CC BY 4.0</t>
  </si>
  <si>
    <t>Raw</t>
  </si>
  <si>
    <t>Registered only</t>
  </si>
  <si>
    <t>Annual</t>
  </si>
  <si>
    <t>Ethiopia</t>
  </si>
  <si>
    <t>Land cover / land use</t>
  </si>
  <si>
    <t>Vector</t>
  </si>
  <si>
    <t>CIMMYT</t>
  </si>
  <si>
    <t>CGIAR-internal</t>
  </si>
  <si>
    <t>CC BY-NC 4.0</t>
  </si>
  <si>
    <t>Processed</t>
  </si>
  <si>
    <t>Migrated to Alliance server</t>
  </si>
  <si>
    <t xml:space="preserve">Seasonal </t>
  </si>
  <si>
    <t>India</t>
  </si>
  <si>
    <t>Ecosystem condition</t>
  </si>
  <si>
    <t>Tabular</t>
  </si>
  <si>
    <t>CIP</t>
  </si>
  <si>
    <t>Restricted</t>
  </si>
  <si>
    <t>CGIAR Open Access</t>
  </si>
  <si>
    <t>Validated</t>
  </si>
  <si>
    <t xml:space="preserve">Monthly </t>
  </si>
  <si>
    <t>Zimbabwe</t>
  </si>
  <si>
    <t>Degradation / land health</t>
  </si>
  <si>
    <t>Mixed</t>
  </si>
  <si>
    <t>ICARDA</t>
  </si>
  <si>
    <t>Restricted — contact data owner</t>
  </si>
  <si>
    <t xml:space="preserve">On-demand </t>
  </si>
  <si>
    <t>Senegal</t>
  </si>
  <si>
    <t>Water / hydrology</t>
  </si>
  <si>
    <t>Netcdf</t>
  </si>
  <si>
    <t>ICRISAT</t>
  </si>
  <si>
    <t>Other (specify in notes)</t>
  </si>
  <si>
    <t>Static</t>
  </si>
  <si>
    <t>Côte d'Ivoire</t>
  </si>
  <si>
    <t>Biodiversity / ecosystems</t>
  </si>
  <si>
    <t>IFPRI</t>
  </si>
  <si>
    <t>Unknown</t>
  </si>
  <si>
    <t>Colombia</t>
  </si>
  <si>
    <t>Pressures / drivers</t>
  </si>
  <si>
    <t>IITA</t>
  </si>
  <si>
    <t>Peru</t>
  </si>
  <si>
    <t>Ecosystem services</t>
  </si>
  <si>
    <t>ILRI</t>
  </si>
  <si>
    <t>Tunisia</t>
  </si>
  <si>
    <t>Hotspots / leverage points</t>
  </si>
  <si>
    <t>IWMI</t>
  </si>
  <si>
    <t>Tanzania</t>
  </si>
  <si>
    <t>Scenarios / future risks</t>
  </si>
  <si>
    <t>WorldFish</t>
  </si>
  <si>
    <t>Laos</t>
  </si>
  <si>
    <t>Decision-support outputs</t>
  </si>
  <si>
    <t>AfricaRice</t>
  </si>
  <si>
    <t>Cambodia</t>
  </si>
  <si>
    <t>Agrobiodiversity / crops</t>
  </si>
  <si>
    <t>ISRA-BAME</t>
  </si>
  <si>
    <t>Vietnam</t>
  </si>
  <si>
    <t>Socio-economic / livelihoods</t>
  </si>
  <si>
    <t>ESA / Copernicus (external)</t>
  </si>
  <si>
    <t>NASA / USGS (external)</t>
  </si>
  <si>
    <t>National government (external)</t>
  </si>
  <si>
    <t>Wageningen University</t>
  </si>
  <si>
    <t>Record ID</t>
  </si>
  <si>
    <t>Dataset title</t>
  </si>
  <si>
    <t>Country</t>
  </si>
  <si>
    <t>MFL theme</t>
  </si>
  <si>
    <t>Living landscape</t>
  </si>
  <si>
    <t>Data type</t>
  </si>
  <si>
    <t>Spatial resolution</t>
  </si>
  <si>
    <t>Temporal coverage</t>
  </si>
  <si>
    <t>Source / Centre</t>
  </si>
  <si>
    <t>Contact person</t>
  </si>
  <si>
    <t>Access level</t>
  </si>
  <si>
    <t>License</t>
  </si>
  <si>
    <t>File name(s)</t>
  </si>
  <si>
    <t>Current location</t>
  </si>
  <si>
    <t>Server path</t>
  </si>
  <si>
    <t>Description / Notes</t>
  </si>
  <si>
    <t>Date registered</t>
  </si>
  <si>
    <t>Last updated</t>
  </si>
  <si>
    <t>Primary source / Download URL</t>
  </si>
  <si>
    <t>File Size</t>
  </si>
  <si>
    <t>Auto-filled by formula — do not edit</t>
  </si>
  <si>
    <t>Short descriptive name</t>
  </si>
  <si>
    <t>Select from dropdown</t>
  </si>
  <si>
    <t>The MFL programme territory this dataset covers</t>
  </si>
  <si>
    <t>Raster / Vector / Tabular / Mixed</t>
  </si>
  <si>
    <t>e.g. 10 m, 30 m, admin-level-2</t>
  </si>
  <si>
    <t>Year or range: 2020–2023</t>
  </si>
  <si>
    <t>Name and email</t>
  </si>
  <si>
    <t>Open / CGIAR-internal / Restricted</t>
  </si>
  <si>
    <t>Raw / Processed / Validated</t>
  </si>
  <si>
    <t>Follow naming convention — see Instructions</t>
  </si>
  <si>
    <t>Where file lives now (centre server, drive, etc.)</t>
  </si>
  <si>
    <t>Registered only / Migrated to Alliance server</t>
  </si>
  <si>
    <t>Fill once migrated to Alliance server</t>
  </si>
  <si>
    <t>Methods, caveats, limitations, related datasets</t>
  </si>
  <si>
    <t>Auto-filled — do not edit</t>
  </si>
  <si>
    <t>Update manually when record changes</t>
  </si>
  <si>
    <t>How often this dataset is expected to be refreshed or replaced. Use "Static" for one-time datasets with no planned updates</t>
  </si>
  <si>
    <t>Original source where this dataset can be downloaded or requested</t>
  </si>
  <si>
    <t>File size in bytes</t>
  </si>
  <si>
    <t>Central India Landscape - Boundary</t>
  </si>
  <si>
    <t>Central India highlands: Hot sub-humid rainfed transition zone</t>
  </si>
  <si>
    <t>Admin - MFLLs Boundary</t>
  </si>
  <si>
    <t>Sudharsan Malaiappan - s.maliappan@cgiar.org</t>
  </si>
  <si>
    <t>One drive</t>
  </si>
  <si>
    <t>MFL LL boundary</t>
  </si>
  <si>
    <t>Internal</t>
  </si>
  <si>
    <t>Central India Landscape - Land Use / Land Cover</t>
  </si>
  <si>
    <t>30m</t>
  </si>
  <si>
    <t>2024-2025</t>
  </si>
  <si>
    <t xml:space="preserve">Related data set: Sentinel 2. Landsat 7, Landsat 8
Method: Hierarchical classification approach. </t>
  </si>
  <si>
    <t>For MFLL: Internal
Overall dataset: https://drive.google.com/file/d/1CPV03S47s0asEJqdAozbNOT1lkgr0YkG/view?usp=sharing</t>
  </si>
  <si>
    <t>Central India Landscape - Rainfall (Remote sensing data)</t>
  </si>
  <si>
    <t>Rainfall data</t>
  </si>
  <si>
    <t>Central India Landscape - Rainfall (Observed)</t>
  </si>
  <si>
    <t>IMD website</t>
  </si>
  <si>
    <t>https://imdpune.gov.in/cmpg/Griddata/Rainfall_25_NetCDF.html</t>
  </si>
  <si>
    <t>Central India Landscape - Socio economic</t>
  </si>
  <si>
    <t>Village level</t>
  </si>
  <si>
    <t>Mission Antodya website</t>
  </si>
  <si>
    <t>Village level socio-economic inftrastructure data</t>
  </si>
  <si>
    <t>https://missionantyodaya.dord.gov.in/</t>
  </si>
  <si>
    <t>Central India Landscape - Environmental / Agriculture</t>
  </si>
  <si>
    <t>Village level agriculture and environmental infrastructure data</t>
  </si>
  <si>
    <t>Water Productivity atlas for India</t>
  </si>
  <si>
    <t>District and River basin level</t>
  </si>
  <si>
    <t>1999 - 2019</t>
  </si>
  <si>
    <t>IWMI Website</t>
  </si>
  <si>
    <t>Water footprints, Water productivity - Physical, economic, and Nutritional</t>
  </si>
  <si>
    <t>Internal (Available on request)
https://indiawpatlas.shinyapps.io/wpatlas/#/trends</t>
  </si>
  <si>
    <t>Solar Irrigation Suitability map for India</t>
  </si>
  <si>
    <t>District level</t>
  </si>
  <si>
    <t xml:space="preserve">Dsitric level solar Irrigation Suitability Map </t>
  </si>
  <si>
    <t>Internal (Available on request)
https://solaready.iwmi.org/india/</t>
  </si>
  <si>
    <t>District level crop area, prodcution and yield data - India</t>
  </si>
  <si>
    <t>District level crop area, production and yield.</t>
  </si>
  <si>
    <t>https://www.data.gov.in/catalog/average-yield-principal-crops</t>
  </si>
  <si>
    <t>District level livestock population data - India</t>
  </si>
  <si>
    <t>Till 2019</t>
  </si>
  <si>
    <t>Govt. Website / IWMI-Onedrive</t>
  </si>
  <si>
    <t>District level livestock population data</t>
  </si>
  <si>
    <t>https://www.data.gov.in/resource/district-wise-details-livestock-population-madhya-pradesh-20th-livestock-census-2019</t>
  </si>
  <si>
    <t>Soil health status of central Indian landscape</t>
  </si>
  <si>
    <t>Till 2024</t>
  </si>
  <si>
    <t>Village level soil health status</t>
  </si>
  <si>
    <t>https://soilhealth.dac.gov.in/legacy-maps/Cycle_II/MADHYA%20PRADESH/23/MANDLA/415</t>
  </si>
  <si>
    <t>Central Indian Landscape health status (Rainfall, Vegetation, infrastructure, soil moisture, carbon stocks) using remote sensing indices</t>
  </si>
  <si>
    <t>Multiple resolutions (10m, 30m, 5000m)</t>
  </si>
  <si>
    <t>2001 to 2025</t>
  </si>
  <si>
    <t>IWMI-One Drive</t>
  </si>
  <si>
    <t>Assessment of landscape health (Rainfall trends, water bodies, vegetation heath, infrastructure changes, carbon stocks) using various remote sensing indices (such as NDVI, NDBI, CVI, NDRE, FAPAR, NDRE)</t>
  </si>
  <si>
    <t>Internal Available on request</t>
  </si>
  <si>
    <t>Rainfall erosivity, soil erodability, and water erosion status of India</t>
  </si>
  <si>
    <t>250 m</t>
  </si>
  <si>
    <t>Zenodo</t>
  </si>
  <si>
    <t>Geospatial modeling and mapping of soil erosion in India</t>
  </si>
  <si>
    <t>https://zenodo.org/records/10846594
https://zenodo.org/records/6505510
https://zenodo.org/records/8011445</t>
  </si>
  <si>
    <t>Tree characteristics (canopy density &amp; canopy height), tree cover change for India</t>
  </si>
  <si>
    <t>Multiple resolutions</t>
  </si>
  <si>
    <t>2017 - 2023</t>
  </si>
  <si>
    <t xml:space="preserve">Core Stack (Open access)
Sudharsan Malaiappan - s.maliappan@cgiar.org
</t>
  </si>
  <si>
    <t>CoreStack: Github / Google rive</t>
  </si>
  <si>
    <t>Tree canopy cover, density and height</t>
  </si>
  <si>
    <t>https://github.com/core-stack-org/QGIS-Styles/blob/main/Tree%20Health/ccd_style.qml
https://github.com/core-stack-org/QGIS-Styles/blob/main/Tree%20Health/canopy_height.qml</t>
  </si>
  <si>
    <t>Waterbodies data on River, canals, waterbodies, reservoir</t>
  </si>
  <si>
    <t>Waterbodies data</t>
  </si>
  <si>
    <t>https://github.com/core-stack-org/QGIS-Styles/blob/main/Hydrology/Sub-Basin_style.qml</t>
  </si>
  <si>
    <t>Land Use and Land Cover - India</t>
  </si>
  <si>
    <t>2018 - 2025</t>
  </si>
  <si>
    <t>Landuse and Land cover changes</t>
  </si>
  <si>
    <t>https://github.com/core-stack-org/QGIS-Styles/blob/main/Land/LULC0_12class.qml</t>
  </si>
  <si>
    <t>Groundwater data - India</t>
  </si>
  <si>
    <t>Land Use and Land Cover - Senegal</t>
  </si>
  <si>
    <t>Department of Fatick</t>
  </si>
  <si>
    <t>10m</t>
  </si>
  <si>
    <t>2017-2025</t>
  </si>
  <si>
    <t xml:space="preserve">dieyemohamadou@gmail.com </t>
  </si>
  <si>
    <t>Drive</t>
  </si>
  <si>
    <t>Land cover derived from Sentinel-2 imagery using machine learning classification. Moderate spatial accuracy depending on land cover type and cloud cover; small or rapid changes may not be captured. Related: Sentinel-2 imagery, global land cover datasets, NDVI products.</t>
  </si>
  <si>
    <t>https://livingatlas.arcgis.com/landcoverexplorer/#mapCenter=-14.06266%2C13.65709%2C11.00&amp;mode=step&amp;timeExtent=2017%2C2022&amp;year=2023</t>
  </si>
  <si>
    <t xml:space="preserve">Departments </t>
  </si>
  <si>
    <t>Official administrative boundaries of Senegal</t>
  </si>
  <si>
    <t>https://gadm.org/</t>
  </si>
  <si>
    <t>Municipalities</t>
  </si>
  <si>
    <t>Localities</t>
  </si>
  <si>
    <t>Road</t>
  </si>
  <si>
    <t>Land Degradation - Senegal</t>
  </si>
  <si>
    <t>In the Senegal region, the resolution does not allow for data at the departmental level</t>
  </si>
  <si>
    <t>500m</t>
  </si>
  <si>
    <t>2000 - 2024</t>
  </si>
  <si>
    <t>local</t>
  </si>
  <si>
    <t>Based on MODIS time-series vegetation indices (NDVI/EVI) to assess land condition. Coarse spatial resolution (250m–1km) and atmospheric/cloud effects may limit precision; short-term changes may be smoothed. Related: Landsat, Sentinel-2, soil and climate datasets.</t>
  </si>
  <si>
    <t xml:space="preserve">Plugin Trends earth </t>
  </si>
  <si>
    <t>Tree mapping</t>
  </si>
  <si>
    <t>Tree data are derived from Sentinel-2 imagery using image classification techniques. Limitations include infrequent updates, which may affect temporal accuracy and may not reflect recent changes. Related datasets: Sentinel-2 imagery, land cover products, vegetation indices (NDVI/EVI).</t>
  </si>
  <si>
    <t xml:space="preserve">1981 – présent </t>
  </si>
  <si>
    <t>Derived from satellite observations and climate models (reanalysis and gauge integration). Coarse spatial resolution (~0.25°–1°) and potential bias compared to ground stations; local variability may be underestimated. Related: GPM, TRMM, ERA5, meteorological station data.</t>
  </si>
  <si>
    <t>https://power.larc.nasa.gov/data-access-viewer/</t>
  </si>
  <si>
    <t>Tree conservation and restoration priority areas</t>
  </si>
  <si>
    <t>Entire Kenya</t>
  </si>
  <si>
    <t>1000m</t>
  </si>
  <si>
    <t>1983-2022</t>
  </si>
  <si>
    <t>h.gaisberger@cgiar.org</t>
  </si>
  <si>
    <t>Dataverse repository</t>
  </si>
  <si>
    <t>Tree species distribution models, climate projections, trait data and spatial proxy datasets are used to map vulnerability to habitat conversion, overexploitation, fire, overgrazing and climate change. Along with existing remote sensing products on tree cover and forest height,  provide guidance on spatial targeting on the conservation, seed sourcing, and restoration actions</t>
  </si>
  <si>
    <t>https://dataverse.harvard.edu/citation?persistentId=doi:10.7910/DVN/2ZQTB2</t>
  </si>
  <si>
    <t>220 MB</t>
  </si>
  <si>
    <t>Soil health status and texture</t>
  </si>
  <si>
    <t>Mbire: Wards 2 and 3</t>
  </si>
  <si>
    <t>Ward level</t>
  </si>
  <si>
    <t>Telma.SIBANDA@um6p.ma</t>
  </si>
  <si>
    <t xml:space="preserve">Ward-level soil texture, nitrogen, and carbon content data </t>
  </si>
  <si>
    <t xml:space="preserve">Crop damage mapping </t>
  </si>
  <si>
    <t>Mbire: Wards 2, 3, 9, 12 and 17</t>
  </si>
  <si>
    <t>2025 -2026</t>
  </si>
  <si>
    <t>Ward-level crop damage data (severity and incidence) by different species</t>
  </si>
  <si>
    <t>District/ward boundaries</t>
  </si>
  <si>
    <t>Lower Zambezi Valley</t>
  </si>
  <si>
    <t>Administrative boundaries for the Lower Zambezi Valley (Districts and wards)</t>
  </si>
  <si>
    <t>LULC classification</t>
  </si>
  <si>
    <t>Land Use and Land Cover Classification</t>
  </si>
  <si>
    <t>LULC classification training points</t>
  </si>
  <si>
    <t>Land Use and Land Cover Classification training points from Sentinel 2</t>
  </si>
  <si>
    <t>Ecosystem services mapping</t>
  </si>
  <si>
    <t>Mbire Ward 2</t>
  </si>
  <si>
    <t>Ward-level ecosystem services mapping</t>
  </si>
  <si>
    <t>Tunisia LLs Governorate boundary for Le Kef and Siliana.</t>
  </si>
  <si>
    <t xml:space="preserve">Northwestern Tunisia </t>
  </si>
  <si>
    <t>admin-level-1</t>
  </si>
  <si>
    <t>NA</t>
  </si>
  <si>
    <t>Layal Atassi - l.atassi@cgiar.org</t>
  </si>
  <si>
    <t>Administrative boundaries for Tunisia</t>
  </si>
  <si>
    <t> www.geoboundaries.org</t>
  </si>
  <si>
    <t>Tunisia LLs Sector boundary containing Es Sers, Gaafour, El Krib, Makthar, and Kesra.</t>
  </si>
  <si>
    <t>admin-level-2</t>
  </si>
  <si>
    <t>Tunisia LLs boundary for the six communities containing Sers, Elles, El Ahouez Sud, Hammam Biadha Sud, Chouarnia, and Kesra.</t>
  </si>
  <si>
    <t>admin-level-3</t>
  </si>
  <si>
    <t>Tunisia Land use land cover for Le Kef and Siliana.</t>
  </si>
  <si>
    <t>10 m</t>
  </si>
  <si>
    <t>Ayman Frija -  a.frija@cgiar.org</t>
  </si>
  <si>
    <t>Tunisia Agricultural soil for Le Kef and Siliana.</t>
  </si>
  <si>
    <t>Agricultural soil map classification</t>
  </si>
  <si>
    <t xml:space="preserve">Agroecological and socioeconomic datasets </t>
  </si>
  <si>
    <t>Survay collecting evidence of the holistic impact of agroecology</t>
  </si>
  <si>
    <t>Agricultural production system</t>
  </si>
  <si>
    <t>Omo-Gibe Ethiopia</t>
  </si>
  <si>
    <t>Degefie Tibebe- d.tibebe@cgiar.org</t>
  </si>
  <si>
    <t>Survey</t>
  </si>
  <si>
    <t>Land use/cover</t>
  </si>
  <si>
    <t>30 m</t>
  </si>
  <si>
    <t>Soil resource</t>
  </si>
  <si>
    <t>Digital soil mapping</t>
  </si>
  <si>
    <t>1991-2020</t>
  </si>
  <si>
    <t>Agroecological zones</t>
  </si>
  <si>
    <t>Agroecological zonations</t>
  </si>
  <si>
    <t>Experimental CSA practices</t>
  </si>
  <si>
    <t>2000-2020</t>
  </si>
  <si>
    <t>Erosion map</t>
  </si>
  <si>
    <t>Emprical modellling</t>
  </si>
  <si>
    <t>MFL-2026-043</t>
  </si>
  <si>
    <t>Rainfall trends</t>
  </si>
  <si>
    <t>District/Region boundaries</t>
  </si>
  <si>
    <t>N'Zi watershed</t>
  </si>
  <si>
    <t>admin-level-1, admin-level-2, admin-level-3</t>
  </si>
  <si>
    <t>Louis Kouadio (a.kouadio2@cgiar.org)</t>
  </si>
  <si>
    <t>Administrative boundaries</t>
  </si>
  <si>
    <t>GADM maps and data (gadm.org)</t>
  </si>
  <si>
    <t>Justin Djagba (j.djagba@cgiar.org)</t>
  </si>
  <si>
    <t xml:space="preserve">HarvestChoice, International Food Policy Research Institute (IFPRI); University of Minnesota, 2017, "CELL5M: A Multidisciplinary Geospatial Database for Africa South of the Sahara", https://doi.org/10.7910/DVN/G4TBLF, Harvard Dataverse, V5 </t>
  </si>
  <si>
    <t>Climate data</t>
  </si>
  <si>
    <t>Climate station observations</t>
  </si>
  <si>
    <t>since 2014</t>
  </si>
  <si>
    <t>server and drive</t>
  </si>
  <si>
    <t xml:space="preserve">Climate data from climate stations for three major cities in the watershed (coverage period varies depending on the station); climate data from M'Be research station </t>
  </si>
  <si>
    <t>NHMS for the synoptic climate stations</t>
  </si>
  <si>
    <t>0.05° × 0.05° and 0.1° x 0.1°, depending on the products</t>
  </si>
  <si>
    <t>1979 - present</t>
  </si>
  <si>
    <t>Gridded daily climate data from CHIRPS and ERA5 climate reanalysis</t>
  </si>
  <si>
    <t>CHIRPS data ( https://doi.org/10.15780/G2JQ0P). ERA5 AgERA5 v2.0 (https://doi.org/10.24381/f9c1f09d)</t>
  </si>
  <si>
    <t>Soil dataset</t>
  </si>
  <si>
    <t>5-min resolution</t>
  </si>
  <si>
    <t>High-resolution soil profile database for crop modeling applications. Files are '*.SOL' file format (DSSAT soil database) for each country worldwide.</t>
  </si>
  <si>
    <t>International Research Institute for Climate and Society (IRI); Michigan State University (MSU); HarvestChoice, International Food Policy Research Institute (IFPRI), 2015, "Global High-Resolution Soil Profile Database for Crop Modeling Applications", https://doi.org/10.7910/DVN/1PEEY0</t>
  </si>
  <si>
    <t>Soil data from SoilGrids</t>
  </si>
  <si>
    <t>SoilGrids - Global gridded soil information (https://soilgrids.org/)</t>
  </si>
  <si>
    <t>watershed boundary</t>
  </si>
  <si>
    <t>3S basins-Sekong, Sesan, and Srepok</t>
  </si>
  <si>
    <t>basin and country levels</t>
  </si>
  <si>
    <t>present</t>
  </si>
  <si>
    <t>s.douangsavanh@cgiar.org</t>
  </si>
  <si>
    <t>MRC produced the data</t>
  </si>
  <si>
    <t>MRC website</t>
  </si>
  <si>
    <t>river network</t>
  </si>
  <si>
    <t>Sekong River Basin Management Plan</t>
  </si>
  <si>
    <t>Country and basin scale</t>
  </si>
  <si>
    <t>report-country and basin level</t>
  </si>
  <si>
    <t>2021-2025</t>
  </si>
  <si>
    <t>Ministry of Agriculture and Environment (MOAE), Lao PDR</t>
  </si>
  <si>
    <t>website-MOAE</t>
  </si>
  <si>
    <t>soil classification</t>
  </si>
  <si>
    <t>Crop fields (2025) - focus on NUS crops</t>
  </si>
  <si>
    <t>Pucallpa Aguaytia Corridor (Andean Amazon Landscape)</t>
  </si>
  <si>
    <t>javier.ochoa@cgiar.org</t>
  </si>
  <si>
    <t>CIP Dataverse</t>
  </si>
  <si>
    <t>Amazonian tubers classified as Neglected and Underutilized Crop Species (NUS crops) in each farmers field, accurately documenting the characteristics of these species in situ. This process generated a comprehensive dataset comprising seven different crops: cassava (Manihot esculenta), sweet potato (Ipomoea batatas), aerial potato (Dioscorea bulbifera L.), achipa or chuin (Pachyrhizus tuberosus), pituca (Colocasia spp., Xanthosoma spp.), dale-dale (Calathea allouia), and sacha papa (Dioscorea bulbifera). Overall, the study captured the main characteristics of 683 varieties/404 species recorded across 273 mapped plots from 221 farmer households. The dataset is organized into: A) Household information, B) Field information and land-use history, C) Species names, D) Variety names, and E) Community collection points of NUS crops</t>
  </si>
  <si>
    <t>https://data.cipotato.org/</t>
  </si>
  <si>
    <t>Crop fields (2023)  focus on 	Potatoes, Oca, Mashua and andean fruit trees</t>
  </si>
  <si>
    <t>Cumbal (Andean Amazon Landscape)</t>
  </si>
  <si>
    <t>A total of 206 farmers in Cumbal, Colombia, were surveyed utilizing ArcGIS Survey 123. Each farmer's field was physically visited, and the 'Participatory Mapping of Farmers' Fields' tool was employed to delineate polygons for each 'shagra', accurately determining their respective areas. This process captured the characteristics of 557 mapped plots across 206 farmers' households. The resultant comprehensive dataset comprises five distinct databases: A) Preliminary Information, B) Shagra Information, C) Land Use Over the Years, and D) Variety Names. These datasets have been individualized and standardized using the common identifiers 'GlobalID Household' and 'GlobalID Shagra'.</t>
  </si>
  <si>
    <t>Crop fields (2023)  focus on Banana, Pumpkins, Taro, Mustard</t>
  </si>
  <si>
    <t>Son La  and Lao Cai (Vietnam)</t>
  </si>
  <si>
    <t>A total of 200 farmers in Vietnam, were surveyed utilizing ArcGIS Survey 123. Each farmer's field was physically visited, and the 'Participatory Mapping of Farmers' Fields' tool was employed to delineate polygons for each 'parcel', accurately determining their respective areas. This process captured the characteristics of 773 mapped plots across 200 farmers' households. The resultant comprehensive dataset comprises five distinct databases: A) Preliminary Information, B) Plot Information, C) Plot and Land Use, D) Crop Information, E) Variety Names. These datasets have been individualized and standardized using the common identifiers 'GlobalID Household' and 'GlobalID Plot'.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</si>
</sst>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3">
    <font>
      <sz val="11"/>
      <color theme="1"/>
      <name val="Calibri"/>
      <family val="2"/>
      <charset val="1"/>
    </font>
    <font>
      <b/>
      <sz val="18"/>
      <color rgb="FFFFFFFF"/>
      <name val="Georgia"/>
      <family val="1"/>
    </font>
    <font>
      <b/>
      <sz val="10"/>
      <color rgb="FF2C5F2D"/>
      <name val="Calibri"/>
      <family val="2"/>
    </font>
    <font>
      <sz val="10"/>
      <color rgb="FF404040"/>
      <name val="Calibri"/>
      <family val="2"/>
    </font>
    <font>
      <b/>
      <sz val="10"/>
      <color rgb="FFFFFFFF"/>
      <name val="Calibri"/>
      <family val="2"/>
    </font>
    <font>
      <i/>
      <sz val="8"/>
      <color rgb="FF2C5F2D"/>
      <name val="Calibri"/>
      <family val="2"/>
    </font>
    <font>
      <i/>
      <sz val="10"/>
      <color rgb="FF808080"/>
      <name val="Calibri"/>
      <family val="2"/>
    </font>
    <font>
      <i/>
      <sz val="10"/>
      <color rgb="FF404040"/>
      <name val="Calibri"/>
      <family val="2"/>
    </font>
    <font>
      <sz val="10"/>
      <color rgb="FF808080"/>
      <name val="Calibri"/>
      <family val="2"/>
    </font>
    <font>
      <sz val="12"/>
      <color rgb="FF9C0006"/>
      <name val="Calibri"/>
      <family val="2"/>
      <scheme val="minor"/>
    </font>
    <font>
      <sz val="9"/>
      <color rgb="FF9C0006"/>
      <name val="Calibri"/>
      <family val="2"/>
      <scheme val="minor"/>
    </font>
    <font>
      <b/>
      <i/>
      <sz val="10"/>
      <color rgb="FF404040"/>
      <name val="Calibri"/>
      <family val="2"/>
    </font>
    <font>
      <sz val="10"/>
      <color theme="1"/>
      <name val="Calibri"/>
      <family val="2"/>
      <charset val="1"/>
    </font>
    <font>
      <sz val="10"/>
      <color rgb="FF404040"/>
      <name val="Calibri"/>
      <family val="2"/>
      <charset val="1"/>
    </font>
    <font>
      <i/>
      <sz val="8"/>
      <color rgb="FFC00000"/>
      <name val="Calibri"/>
      <family val="2"/>
    </font>
    <font>
      <b/>
      <u/>
      <sz val="10"/>
      <color theme="1"/>
      <name val="Calibri"/>
      <family val="2"/>
    </font>
    <font>
      <b/>
      <i/>
      <u/>
      <sz val="10"/>
      <color theme="1"/>
      <name val="Calibri"/>
      <family val="2"/>
    </font>
    <font>
      <i/>
      <sz val="10"/>
      <color rgb="FF404040"/>
      <name val="Calibri"/>
      <family val="2"/>
      <charset val="1"/>
    </font>
    <font>
      <u/>
      <sz val="11"/>
      <color theme="10"/>
      <name val="Calibri"/>
      <family val="2"/>
      <charset val="1"/>
    </font>
    <font>
      <u/>
      <sz val="8"/>
      <color theme="10"/>
      <name val="Calibri"/>
      <family val="2"/>
      <charset val="1"/>
    </font>
    <font>
      <sz val="10"/>
      <color theme="1"/>
      <name val="Arial"/>
      <family val="2"/>
    </font>
    <font>
      <i/>
      <sz val="10"/>
      <color rgb="FF404040"/>
      <name val="Cambria"/>
      <scheme val="major"/>
    </font>
    <font>
      <sz val="10"/>
      <color rgb="FF404040"/>
      <name val="Calibri"/>
      <charset val="1"/>
    </font>
  </fonts>
  <fills count="6">
    <fill>
      <patternFill patternType="none"/>
    </fill>
    <fill>
      <patternFill patternType="gray125"/>
    </fill>
    <fill>
      <patternFill patternType="solid">
        <fgColor rgb="FF2C5F2D"/>
        <bgColor rgb="FF1D5C1E"/>
      </patternFill>
    </fill>
    <fill>
      <patternFill patternType="solid">
        <fgColor rgb="FFFFC7CE"/>
      </patternFill>
    </fill>
    <fill>
      <patternFill patternType="solid">
        <fgColor theme="0" tint="-0.34998626667073579"/>
        <bgColor indexed="64"/>
      </patternFill>
    </fill>
    <fill>
      <patternFill patternType="solid">
        <fgColor rgb="FFFFC000"/>
        <bgColor indexed="64"/>
      </patternFill>
    </fill>
  </fills>
  <borders count="6">
    <border>
      <left/>
      <right/>
      <top/>
      <bottom/>
      <diagonal/>
    </border>
    <border>
      <left style="thin">
        <color rgb="FF2C5F2D"/>
      </left>
      <right style="thin">
        <color rgb="FF2C5F2D"/>
      </right>
      <top style="thin">
        <color rgb="FF2C5F2D"/>
      </top>
      <bottom style="thin">
        <color rgb="FF2C5F2D"/>
      </bottom>
      <diagonal/>
    </border>
    <border>
      <left style="thin">
        <color rgb="FFCCCCCC"/>
      </left>
      <right style="thin">
        <color rgb="FFCCCCCC"/>
      </right>
      <top style="thin">
        <color rgb="FFCCCCCC"/>
      </top>
      <bottom style="thin">
        <color rgb="FFCCCCCC"/>
      </bottom>
      <diagonal/>
    </border>
    <border>
      <left style="thin">
        <color rgb="FF2C5F2D"/>
      </left>
      <right style="thin">
        <color rgb="FF2C5F2D"/>
      </right>
      <top/>
      <bottom style="thin">
        <color rgb="FF2C5F2D"/>
      </bottom>
      <diagonal/>
    </border>
    <border>
      <left style="thin">
        <color rgb="FFCCCCCC"/>
      </left>
      <right style="thin">
        <color rgb="FFCCCCCC"/>
      </right>
      <top style="thin">
        <color rgb="FFCCCCCC"/>
      </top>
      <bottom/>
      <diagonal/>
    </border>
    <border>
      <left style="thin">
        <color rgb="FF2C5F2D"/>
      </left>
      <right style="thin">
        <color rgb="FF2C5F2D"/>
      </right>
      <top/>
      <bottom/>
      <diagonal/>
    </border>
  </borders>
  <cellStyleXfs count="3">
    <xf numFmtId="0" fontId="0" fillId="0" borderId="0"/>
    <xf numFmtId="0" fontId="9" fillId="3" borderId="0" applyNumberFormat="0" applyBorder="0" applyAlignment="0" applyProtection="0"/>
    <xf numFmtId="0" fontId="18" fillId="0" borderId="0" applyNumberFormat="0" applyFill="0" applyBorder="0" applyAlignment="0" applyProtection="0"/>
  </cellStyleXfs>
  <cellXfs count="31">
    <xf numFmtId="0" fontId="0" fillId="0" borderId="0" xfId="0"/>
    <xf numFmtId="0" fontId="2" fillId="0" borderId="0" xfId="0" applyFont="1" applyAlignment="1">
      <alignment vertical="top"/>
    </xf>
    <xf numFmtId="0" fontId="3" fillId="0" borderId="0" xfId="0" applyFont="1" applyAlignment="1">
      <alignment horizontal="left" vertical="top" wrapText="1"/>
    </xf>
    <xf numFmtId="0" fontId="10" fillId="0" borderId="0" xfId="1" applyFont="1" applyFill="1" applyAlignment="1">
      <alignment wrapText="1"/>
    </xf>
    <xf numFmtId="0" fontId="5" fillId="0" borderId="2" xfId="0" applyFont="1" applyBorder="1" applyAlignment="1">
      <alignment horizontal="center" vertical="center" wrapText="1"/>
    </xf>
    <xf numFmtId="0" fontId="6" fillId="0" borderId="2" xfId="0" applyFont="1" applyBorder="1" applyAlignment="1">
      <alignment horizontal="center" vertical="center"/>
    </xf>
    <xf numFmtId="0" fontId="3" fillId="0" borderId="2" xfId="0" applyFont="1" applyBorder="1" applyAlignment="1">
      <alignment horizontal="left" vertical="center" wrapText="1"/>
    </xf>
    <xf numFmtId="164" fontId="8" fillId="0" borderId="2" xfId="0" applyNumberFormat="1" applyFont="1" applyBorder="1" applyAlignment="1">
      <alignment horizontal="left" vertical="center" wrapText="1"/>
    </xf>
    <xf numFmtId="0" fontId="4" fillId="4" borderId="1" xfId="0" applyFont="1" applyFill="1" applyBorder="1" applyAlignment="1">
      <alignment horizontal="center" vertical="center" wrapText="1"/>
    </xf>
    <xf numFmtId="0" fontId="4" fillId="0" borderId="3" xfId="0" applyFont="1" applyBorder="1" applyAlignment="1">
      <alignment horizontal="center" vertical="center"/>
    </xf>
    <xf numFmtId="0" fontId="3" fillId="0" borderId="4" xfId="0" applyFont="1" applyBorder="1" applyAlignment="1">
      <alignment horizontal="left" vertical="center" wrapText="1"/>
    </xf>
    <xf numFmtId="0" fontId="12" fillId="0" borderId="0" xfId="0" applyFont="1"/>
    <xf numFmtId="0" fontId="13" fillId="0" borderId="0" xfId="0" applyFont="1"/>
    <xf numFmtId="0" fontId="4" fillId="4" borderId="5" xfId="0" applyFont="1" applyFill="1" applyBorder="1" applyAlignment="1">
      <alignment horizontal="center" vertical="center" wrapText="1"/>
    </xf>
    <xf numFmtId="0" fontId="7" fillId="0" borderId="0" xfId="0" applyFont="1" applyAlignment="1">
      <alignment vertical="center"/>
    </xf>
    <xf numFmtId="0" fontId="14" fillId="0" borderId="2" xfId="0" applyFont="1" applyBorder="1" applyAlignment="1">
      <alignment horizontal="center" vertical="center" wrapText="1"/>
    </xf>
    <xf numFmtId="0" fontId="17" fillId="0" borderId="0" xfId="0" applyFont="1" applyAlignment="1">
      <alignment vertical="center"/>
    </xf>
    <xf numFmtId="0" fontId="18" fillId="0" borderId="0" xfId="2" applyAlignment="1">
      <alignment vertical="center"/>
    </xf>
    <xf numFmtId="0" fontId="18" fillId="0" borderId="0" xfId="2" applyAlignment="1">
      <alignment vertical="center" wrapText="1"/>
    </xf>
    <xf numFmtId="0" fontId="19" fillId="0" borderId="0" xfId="2" applyFont="1" applyAlignment="1">
      <alignment vertical="center" wrapText="1"/>
    </xf>
    <xf numFmtId="0" fontId="7" fillId="0" borderId="0" xfId="0" applyFont="1" applyAlignment="1">
      <alignment vertical="center" wrapText="1"/>
    </xf>
    <xf numFmtId="0" fontId="20" fillId="0" borderId="0" xfId="0" applyFont="1" applyAlignment="1">
      <alignment wrapText="1"/>
    </xf>
    <xf numFmtId="0" fontId="18" fillId="0" borderId="2" xfId="2" applyBorder="1" applyAlignment="1">
      <alignment horizontal="left" vertical="center" wrapText="1"/>
    </xf>
    <xf numFmtId="0" fontId="18" fillId="0" borderId="0" xfId="2"/>
    <xf numFmtId="0" fontId="21" fillId="0" borderId="0" xfId="0" applyFont="1" applyAlignment="1">
      <alignment vertical="center"/>
    </xf>
    <xf numFmtId="0" fontId="22" fillId="0" borderId="0" xfId="0" applyFont="1"/>
    <xf numFmtId="0" fontId="4" fillId="5" borderId="5" xfId="0" applyFont="1" applyFill="1" applyBorder="1" applyAlignment="1">
      <alignment horizontal="center" vertical="center" wrapText="1"/>
    </xf>
    <xf numFmtId="0" fontId="5" fillId="5" borderId="2" xfId="0" applyFont="1" applyFill="1" applyBorder="1" applyAlignment="1">
      <alignment horizontal="center" vertical="center" wrapText="1"/>
    </xf>
    <xf numFmtId="0" fontId="0" fillId="5" borderId="0" xfId="0" applyFill="1"/>
    <xf numFmtId="0" fontId="3" fillId="0" borderId="0" xfId="0" applyFont="1" applyAlignment="1">
      <alignment horizontal="left" vertical="center" wrapText="1"/>
    </xf>
    <xf numFmtId="0" fontId="1" fillId="2" borderId="0" xfId="0" applyFont="1" applyFill="1" applyAlignment="1">
      <alignment horizontal="center" vertical="center"/>
    </xf>
  </cellXfs>
  <cellStyles count="3">
    <cellStyle name="Bad" xfId="1" builtinId="27"/>
    <cellStyle name="Hyperlink" xfId="2" xr:uid="{00000000-000B-0000-0000-000008000000}"/>
    <cellStyle name="Normal" xfId="0" builtinId="0"/>
  </cellStyles>
  <dxfs count="56">
    <dxf>
      <font>
        <sz val="10"/>
        <color rgb="FFD48E00"/>
        <name val="Calibri"/>
        <charset val="1"/>
      </font>
      <fill>
        <patternFill>
          <bgColor rgb="FFFFF3CD"/>
        </patternFill>
      </fill>
    </dxf>
    <dxf>
      <font>
        <b/>
        <sz val="10"/>
        <color rgb="FF1D5C1E"/>
        <name val="Calibri"/>
        <charset val="1"/>
      </font>
      <fill>
        <patternFill>
          <bgColor rgb="FFD6EAD7"/>
        </patternFill>
      </fill>
    </dxf>
    <dxf>
      <font>
        <sz val="10"/>
        <color rgb="FF1D5C1E"/>
        <name val="Calibri"/>
        <charset val="1"/>
      </font>
      <fill>
        <patternFill>
          <bgColor rgb="FFD6EAD7"/>
        </patternFill>
      </fill>
    </dxf>
    <dxf>
      <font>
        <sz val="10"/>
        <color rgb="FFC0392B"/>
        <name val="Calibri"/>
        <charset val="1"/>
      </font>
      <fill>
        <patternFill>
          <bgColor rgb="FFFDECEA"/>
        </patternFill>
      </fill>
    </dxf>
    <dxf>
      <font>
        <sz val="10"/>
        <color rgb="FF1D5C1E"/>
        <name val="Calibri"/>
        <charset val="1"/>
      </font>
      <fill>
        <patternFill>
          <bgColor rgb="FFD6EAD7"/>
        </patternFill>
      </fill>
    </dxf>
    <dxf>
      <font>
        <strike val="0"/>
        <outline val="0"/>
        <shadow val="0"/>
        <u val="none"/>
        <vertAlign val="baseline"/>
        <sz val="10"/>
        <color rgb="FF404040"/>
        <name val="Calibri"/>
        <family val="2"/>
        <charset val="1"/>
        <scheme val="none"/>
      </font>
      <fill>
        <patternFill patternType="none">
          <fgColor indexed="64"/>
          <bgColor indexed="65"/>
        </patternFill>
      </fill>
    </dxf>
    <dxf>
      <font>
        <strike val="0"/>
        <outline val="0"/>
        <shadow val="0"/>
        <u val="none"/>
        <vertAlign val="baseline"/>
        <sz val="10"/>
        <color rgb="FF404040"/>
        <name val="Calibri"/>
        <family val="2"/>
        <charset val="1"/>
        <scheme val="none"/>
      </font>
      <fill>
        <patternFill patternType="none">
          <fgColor indexed="64"/>
          <bgColor indexed="65"/>
        </patternFill>
      </fill>
    </dxf>
    <dxf>
      <font>
        <strike val="0"/>
        <outline val="0"/>
        <shadow val="0"/>
        <u val="none"/>
        <vertAlign val="baseline"/>
        <sz val="10"/>
        <color theme="1"/>
        <name val="Calibri"/>
        <family val="2"/>
        <charset val="1"/>
        <scheme val="none"/>
      </font>
    </dxf>
    <dxf>
      <font>
        <b val="0"/>
        <i val="0"/>
        <strike val="0"/>
        <condense val="0"/>
        <extend val="0"/>
        <outline val="0"/>
        <shadow val="0"/>
        <u val="none"/>
        <vertAlign val="baseline"/>
        <sz val="10"/>
        <color rgb="FF404040"/>
        <name val="Calibri"/>
        <family val="2"/>
        <scheme val="none"/>
      </font>
      <fill>
        <patternFill patternType="none">
          <fgColor indexed="64"/>
          <bgColor indexed="65"/>
        </patternFill>
      </fill>
      <alignment horizontal="left" vertical="center" textRotation="0" wrapText="1" indent="0" justifyLastLine="0" shrinkToFit="0" readingOrder="0"/>
      <border diagonalUp="0" diagonalDown="0">
        <left style="thin">
          <color rgb="FFCCCCCC"/>
        </left>
        <right style="thin">
          <color rgb="FFCCCCCC"/>
        </right>
        <top style="thin">
          <color rgb="FFCCCCCC"/>
        </top>
        <bottom style="thin">
          <color rgb="FFCCCCCC"/>
        </bottom>
        <vertical/>
        <horizontal/>
      </border>
    </dxf>
    <dxf>
      <border outline="0">
        <top style="thin">
          <color rgb="FFCCCCCC"/>
        </top>
      </border>
    </dxf>
    <dxf>
      <border outline="0">
        <bottom style="thin">
          <color rgb="FF2C5F2D"/>
        </bottom>
      </border>
    </dxf>
    <dxf>
      <border outline="0">
        <top style="thin">
          <color rgb="FF2C5F2D"/>
        </top>
        <bottom style="thin">
          <color rgb="FFCCCCCC"/>
        </bottom>
      </border>
    </dxf>
    <dxf>
      <font>
        <b val="0"/>
        <i val="0"/>
        <strike val="0"/>
        <condense val="0"/>
        <extend val="0"/>
        <outline val="0"/>
        <shadow val="0"/>
        <u val="none"/>
        <vertAlign val="baseline"/>
        <sz val="10"/>
        <color rgb="FF404040"/>
        <name val="Calibri"/>
        <family val="2"/>
        <scheme val="none"/>
      </font>
      <fill>
        <patternFill patternType="none">
          <fgColor indexed="64"/>
          <bgColor indexed="65"/>
        </patternFill>
      </fill>
      <alignment horizontal="left" vertical="center" textRotation="0" wrapText="1" indent="0" justifyLastLine="0" shrinkToFit="0" readingOrder="0"/>
    </dxf>
    <dxf>
      <font>
        <b/>
        <i val="0"/>
        <strike val="0"/>
        <condense val="0"/>
        <extend val="0"/>
        <outline val="0"/>
        <shadow val="0"/>
        <u val="none"/>
        <vertAlign val="baseline"/>
        <sz val="10"/>
        <color rgb="FFFFFFFF"/>
        <name val="Calibri"/>
        <family val="2"/>
        <scheme val="none"/>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0"/>
        <color rgb="FF404040"/>
        <name val="Calibri"/>
        <family val="2"/>
        <scheme val="none"/>
      </font>
      <fill>
        <patternFill patternType="none">
          <fgColor indexed="64"/>
          <bgColor indexed="65"/>
        </patternFill>
      </fill>
      <alignment horizontal="left" vertical="center" textRotation="0" wrapText="1" indent="0" justifyLastLine="0" shrinkToFit="0" readingOrder="0"/>
      <border diagonalUp="0" diagonalDown="0">
        <left style="thin">
          <color rgb="FFCCCCCC"/>
        </left>
        <right style="thin">
          <color rgb="FFCCCCCC"/>
        </right>
        <top style="thin">
          <color rgb="FFCCCCCC"/>
        </top>
        <bottom style="thin">
          <color rgb="FFCCCCCC"/>
        </bottom>
        <vertical/>
        <horizontal/>
      </border>
    </dxf>
    <dxf>
      <border outline="0">
        <top style="thin">
          <color rgb="FFCCCCCC"/>
        </top>
      </border>
    </dxf>
    <dxf>
      <border outline="0">
        <bottom style="thin">
          <color rgb="FF2C5F2D"/>
        </bottom>
      </border>
    </dxf>
    <dxf>
      <border outline="0">
        <top style="thin">
          <color rgb="FF2C5F2D"/>
        </top>
        <bottom style="thin">
          <color rgb="FFCCCCCC"/>
        </bottom>
      </border>
    </dxf>
    <dxf>
      <font>
        <b val="0"/>
        <i val="0"/>
        <strike val="0"/>
        <condense val="0"/>
        <extend val="0"/>
        <outline val="0"/>
        <shadow val="0"/>
        <u val="none"/>
        <vertAlign val="baseline"/>
        <sz val="10"/>
        <color rgb="FF404040"/>
        <name val="Calibri"/>
        <family val="2"/>
        <scheme val="none"/>
      </font>
      <fill>
        <patternFill patternType="none">
          <fgColor indexed="64"/>
          <bgColor indexed="65"/>
        </patternFill>
      </fill>
      <alignment horizontal="left" vertical="center" textRotation="0" wrapText="1" indent="0" justifyLastLine="0" shrinkToFit="0" readingOrder="0"/>
    </dxf>
    <dxf>
      <font>
        <b/>
        <i val="0"/>
        <strike val="0"/>
        <condense val="0"/>
        <extend val="0"/>
        <outline val="0"/>
        <shadow val="0"/>
        <u val="none"/>
        <vertAlign val="baseline"/>
        <sz val="10"/>
        <color rgb="FFFFFFFF"/>
        <name val="Calibri"/>
        <family val="2"/>
        <scheme val="none"/>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0"/>
        <color rgb="FF404040"/>
        <name val="Calibri"/>
        <family val="2"/>
        <scheme val="none"/>
      </font>
      <fill>
        <patternFill patternType="none">
          <fgColor indexed="64"/>
          <bgColor indexed="65"/>
        </patternFill>
      </fill>
      <alignment horizontal="left" vertical="center" textRotation="0" wrapText="1" indent="0" justifyLastLine="0" shrinkToFit="0" readingOrder="0"/>
      <border diagonalUp="0" diagonalDown="0">
        <left style="thin">
          <color rgb="FFCCCCCC"/>
        </left>
        <right style="thin">
          <color rgb="FFCCCCCC"/>
        </right>
        <top style="thin">
          <color rgb="FFCCCCCC"/>
        </top>
        <bottom style="thin">
          <color rgb="FFCCCCCC"/>
        </bottom>
        <vertical/>
        <horizontal/>
      </border>
    </dxf>
    <dxf>
      <border outline="0">
        <top style="thin">
          <color rgb="FFCCCCCC"/>
        </top>
      </border>
    </dxf>
    <dxf>
      <border outline="0">
        <bottom style="thin">
          <color rgb="FF2C5F2D"/>
        </bottom>
      </border>
    </dxf>
    <dxf>
      <border outline="0">
        <top style="thin">
          <color rgb="FF2C5F2D"/>
        </top>
        <bottom style="thin">
          <color rgb="FFCCCCCC"/>
        </bottom>
      </border>
    </dxf>
    <dxf>
      <font>
        <b val="0"/>
        <i val="0"/>
        <strike val="0"/>
        <condense val="0"/>
        <extend val="0"/>
        <outline val="0"/>
        <shadow val="0"/>
        <u val="none"/>
        <vertAlign val="baseline"/>
        <sz val="10"/>
        <color rgb="FF404040"/>
        <name val="Calibri"/>
        <family val="2"/>
        <scheme val="none"/>
      </font>
      <fill>
        <patternFill patternType="none">
          <fgColor indexed="64"/>
          <bgColor indexed="65"/>
        </patternFill>
      </fill>
      <alignment horizontal="left" vertical="center" textRotation="0" wrapText="1" indent="0" justifyLastLine="0" shrinkToFit="0" readingOrder="0"/>
    </dxf>
    <dxf>
      <font>
        <b/>
        <i val="0"/>
        <strike val="0"/>
        <condense val="0"/>
        <extend val="0"/>
        <outline val="0"/>
        <shadow val="0"/>
        <u val="none"/>
        <vertAlign val="baseline"/>
        <sz val="10"/>
        <color rgb="FFFFFFFF"/>
        <name val="Calibri"/>
        <family val="2"/>
        <scheme val="none"/>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0"/>
        <color rgb="FF404040"/>
        <name val="Calibri"/>
        <family val="2"/>
        <scheme val="none"/>
      </font>
      <fill>
        <patternFill patternType="none">
          <fgColor indexed="64"/>
          <bgColor indexed="65"/>
        </patternFill>
      </fill>
      <alignment horizontal="left" vertical="center" textRotation="0" wrapText="1" indent="0" justifyLastLine="0" shrinkToFit="0" readingOrder="0"/>
      <border diagonalUp="0" diagonalDown="0">
        <left style="thin">
          <color rgb="FFCCCCCC"/>
        </left>
        <right style="thin">
          <color rgb="FFCCCCCC"/>
        </right>
        <top style="thin">
          <color rgb="FFCCCCCC"/>
        </top>
        <bottom style="thin">
          <color rgb="FFCCCCCC"/>
        </bottom>
        <vertical/>
        <horizontal/>
      </border>
    </dxf>
    <dxf>
      <border outline="0">
        <top style="thin">
          <color rgb="FFCCCCCC"/>
        </top>
      </border>
    </dxf>
    <dxf>
      <border outline="0">
        <bottom style="thin">
          <color rgb="FF2C5F2D"/>
        </bottom>
      </border>
    </dxf>
    <dxf>
      <border outline="0">
        <top style="thin">
          <color rgb="FF2C5F2D"/>
        </top>
        <bottom style="thin">
          <color rgb="FFCCCCCC"/>
        </bottom>
      </border>
    </dxf>
    <dxf>
      <font>
        <b val="0"/>
        <i val="0"/>
        <strike val="0"/>
        <condense val="0"/>
        <extend val="0"/>
        <outline val="0"/>
        <shadow val="0"/>
        <u val="none"/>
        <vertAlign val="baseline"/>
        <sz val="10"/>
        <color rgb="FF404040"/>
        <name val="Calibri"/>
        <family val="2"/>
        <scheme val="none"/>
      </font>
      <fill>
        <patternFill patternType="none">
          <fgColor indexed="64"/>
          <bgColor indexed="65"/>
        </patternFill>
      </fill>
      <alignment horizontal="left" vertical="center" textRotation="0" wrapText="1" indent="0" justifyLastLine="0" shrinkToFit="0" readingOrder="0"/>
    </dxf>
    <dxf>
      <font>
        <b/>
        <i val="0"/>
        <strike val="0"/>
        <condense val="0"/>
        <extend val="0"/>
        <outline val="0"/>
        <shadow val="0"/>
        <u val="none"/>
        <vertAlign val="baseline"/>
        <sz val="10"/>
        <color rgb="FFFFFFFF"/>
        <name val="Calibri"/>
        <family val="2"/>
        <scheme val="none"/>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0"/>
        <color rgb="FF404040"/>
        <name val="Calibri"/>
        <family val="2"/>
        <scheme val="none"/>
      </font>
      <fill>
        <patternFill patternType="none">
          <fgColor indexed="64"/>
          <bgColor indexed="65"/>
        </patternFill>
      </fill>
      <alignment horizontal="left" vertical="center" textRotation="0" wrapText="1" indent="0" justifyLastLine="0" shrinkToFit="0" readingOrder="0"/>
      <border diagonalUp="0" diagonalDown="0">
        <left style="thin">
          <color rgb="FFCCCCCC"/>
        </left>
        <right style="thin">
          <color rgb="FFCCCCCC"/>
        </right>
        <top style="thin">
          <color rgb="FFCCCCCC"/>
        </top>
        <bottom style="thin">
          <color rgb="FFCCCCCC"/>
        </bottom>
        <vertical/>
        <horizontal/>
      </border>
    </dxf>
    <dxf>
      <border outline="0">
        <top style="thin">
          <color rgb="FFCCCCCC"/>
        </top>
      </border>
    </dxf>
    <dxf>
      <border outline="0">
        <bottom style="thin">
          <color rgb="FF2C5F2D"/>
        </bottom>
      </border>
    </dxf>
    <dxf>
      <border outline="0">
        <top style="thin">
          <color rgb="FF2C5F2D"/>
        </top>
        <bottom style="thin">
          <color rgb="FFCCCCCC"/>
        </bottom>
      </border>
    </dxf>
    <dxf>
      <font>
        <b val="0"/>
        <i val="0"/>
        <strike val="0"/>
        <condense val="0"/>
        <extend val="0"/>
        <outline val="0"/>
        <shadow val="0"/>
        <u val="none"/>
        <vertAlign val="baseline"/>
        <sz val="10"/>
        <color rgb="FF404040"/>
        <name val="Calibri"/>
        <family val="2"/>
        <scheme val="none"/>
      </font>
      <fill>
        <patternFill patternType="none">
          <fgColor indexed="64"/>
          <bgColor indexed="65"/>
        </patternFill>
      </fill>
      <alignment horizontal="left" vertical="center" textRotation="0" wrapText="1" indent="0" justifyLastLine="0" shrinkToFit="0" readingOrder="0"/>
    </dxf>
    <dxf>
      <font>
        <b/>
        <i val="0"/>
        <strike val="0"/>
        <condense val="0"/>
        <extend val="0"/>
        <outline val="0"/>
        <shadow val="0"/>
        <u val="none"/>
        <vertAlign val="baseline"/>
        <sz val="10"/>
        <color rgb="FFFFFFFF"/>
        <name val="Calibri"/>
        <family val="2"/>
        <scheme val="none"/>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0"/>
        <color rgb="FF404040"/>
        <name val="Calibri"/>
        <family val="2"/>
        <scheme val="none"/>
      </font>
      <fill>
        <patternFill patternType="none">
          <fgColor indexed="64"/>
          <bgColor auto="1"/>
        </patternFill>
      </fill>
      <alignment horizontal="left" vertical="center" textRotation="0" wrapText="1" indent="0" justifyLastLine="0" shrinkToFit="0" readingOrder="0"/>
      <border diagonalUp="0" diagonalDown="0" outline="0">
        <left style="thin">
          <color rgb="FFCCCCCC"/>
        </left>
        <right style="thin">
          <color rgb="FFCCCCCC"/>
        </right>
        <top style="thin">
          <color rgb="FFCCCCCC"/>
        </top>
        <bottom style="thin">
          <color rgb="FFCCCCCC"/>
        </bottom>
      </border>
    </dxf>
    <dxf>
      <border outline="0">
        <top style="thin">
          <color rgb="FFCCCCCC"/>
        </top>
      </border>
    </dxf>
    <dxf>
      <border outline="0">
        <bottom style="thin">
          <color rgb="FF2C5F2D"/>
        </bottom>
      </border>
    </dxf>
    <dxf>
      <border outline="0">
        <top style="thin">
          <color rgb="FF2C5F2D"/>
        </top>
        <bottom style="thin">
          <color rgb="FFCCCCCC"/>
        </bottom>
      </border>
    </dxf>
    <dxf>
      <font>
        <b val="0"/>
        <i val="0"/>
        <strike val="0"/>
        <condense val="0"/>
        <extend val="0"/>
        <outline val="0"/>
        <shadow val="0"/>
        <u val="none"/>
        <vertAlign val="baseline"/>
        <sz val="10"/>
        <color rgb="FF404040"/>
        <name val="Calibri"/>
        <family val="2"/>
        <scheme val="none"/>
      </font>
      <fill>
        <patternFill patternType="none">
          <fgColor indexed="64"/>
          <bgColor auto="1"/>
        </patternFill>
      </fill>
      <alignment horizontal="left" vertical="center" textRotation="0" wrapText="1" indent="0" justifyLastLine="0" shrinkToFit="0" readingOrder="0"/>
    </dxf>
    <dxf>
      <font>
        <b/>
        <i val="0"/>
        <strike val="0"/>
        <condense val="0"/>
        <extend val="0"/>
        <outline val="0"/>
        <shadow val="0"/>
        <u val="none"/>
        <vertAlign val="baseline"/>
        <sz val="10"/>
        <color rgb="FFFFFFFF"/>
        <name val="Calibri"/>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0"/>
        <color rgb="FF404040"/>
        <name val="Calibri"/>
        <family val="2"/>
        <scheme val="none"/>
      </font>
      <fill>
        <patternFill patternType="none">
          <fgColor indexed="64"/>
          <bgColor auto="1"/>
        </patternFill>
      </fill>
      <alignment horizontal="left" vertical="center" textRotation="0" wrapText="1" indent="0" justifyLastLine="0" shrinkToFit="0" readingOrder="0"/>
      <border diagonalUp="0" diagonalDown="0" outline="0">
        <left style="thin">
          <color rgb="FFCCCCCC"/>
        </left>
        <right style="thin">
          <color rgb="FFCCCCCC"/>
        </right>
        <top style="thin">
          <color rgb="FFCCCCCC"/>
        </top>
        <bottom style="thin">
          <color rgb="FFCCCCCC"/>
        </bottom>
      </border>
    </dxf>
    <dxf>
      <border outline="0">
        <top style="thin">
          <color rgb="FFCCCCCC"/>
        </top>
      </border>
    </dxf>
    <dxf>
      <border outline="0">
        <bottom style="thin">
          <color rgb="FF2C5F2D"/>
        </bottom>
      </border>
    </dxf>
    <dxf>
      <border outline="0">
        <top style="thin">
          <color rgb="FF2C5F2D"/>
        </top>
        <bottom style="thin">
          <color rgb="FFCCCCCC"/>
        </bottom>
      </border>
    </dxf>
    <dxf>
      <font>
        <b val="0"/>
        <i val="0"/>
        <strike val="0"/>
        <condense val="0"/>
        <extend val="0"/>
        <outline val="0"/>
        <shadow val="0"/>
        <u val="none"/>
        <vertAlign val="baseline"/>
        <sz val="10"/>
        <color rgb="FF404040"/>
        <name val="Calibri"/>
        <family val="2"/>
        <scheme val="none"/>
      </font>
      <fill>
        <patternFill patternType="none">
          <fgColor indexed="64"/>
          <bgColor auto="1"/>
        </patternFill>
      </fill>
      <alignment horizontal="left" vertical="center" textRotation="0" wrapText="1" indent="0" justifyLastLine="0" shrinkToFit="0" readingOrder="0"/>
    </dxf>
    <dxf>
      <font>
        <b/>
        <i val="0"/>
        <strike val="0"/>
        <condense val="0"/>
        <extend val="0"/>
        <outline val="0"/>
        <shadow val="0"/>
        <u val="none"/>
        <vertAlign val="baseline"/>
        <sz val="10"/>
        <color rgb="FFFFFFFF"/>
        <name val="Calibri"/>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0"/>
        <color rgb="FF404040"/>
        <name val="Calibri"/>
        <family val="2"/>
        <scheme val="none"/>
      </font>
      <fill>
        <patternFill patternType="none">
          <fgColor indexed="64"/>
          <bgColor auto="1"/>
        </patternFill>
      </fill>
      <alignment horizontal="left" vertical="center" textRotation="0" wrapText="1" indent="0" justifyLastLine="0" shrinkToFit="0" readingOrder="0"/>
      <border diagonalUp="0" diagonalDown="0" outline="0">
        <left style="thin">
          <color rgb="FFCCCCCC"/>
        </left>
        <right style="thin">
          <color rgb="FFCCCCCC"/>
        </right>
        <top style="thin">
          <color rgb="FFCCCCCC"/>
        </top>
        <bottom style="thin">
          <color rgb="FFCCCCCC"/>
        </bottom>
      </border>
    </dxf>
    <dxf>
      <border outline="0">
        <top style="thin">
          <color rgb="FFCCCCCC"/>
        </top>
      </border>
    </dxf>
    <dxf>
      <border outline="0">
        <bottom style="thin">
          <color rgb="FF2C5F2D"/>
        </bottom>
      </border>
    </dxf>
    <dxf>
      <border outline="0">
        <top style="thin">
          <color rgb="FF2C5F2D"/>
        </top>
        <bottom style="thin">
          <color rgb="FFCCCCCC"/>
        </bottom>
      </border>
    </dxf>
    <dxf>
      <font>
        <b val="0"/>
        <i val="0"/>
        <strike val="0"/>
        <condense val="0"/>
        <extend val="0"/>
        <outline val="0"/>
        <shadow val="0"/>
        <u val="none"/>
        <vertAlign val="baseline"/>
        <sz val="10"/>
        <color rgb="FF404040"/>
        <name val="Calibri"/>
        <family val="2"/>
        <scheme val="none"/>
      </font>
      <fill>
        <patternFill patternType="none">
          <fgColor indexed="64"/>
          <bgColor auto="1"/>
        </patternFill>
      </fill>
      <alignment horizontal="left" vertical="center" textRotation="0" wrapText="1" indent="0" justifyLastLine="0" shrinkToFit="0" readingOrder="0"/>
    </dxf>
    <dxf>
      <font>
        <b/>
        <i val="0"/>
        <strike val="0"/>
        <condense val="0"/>
        <extend val="0"/>
        <outline val="0"/>
        <shadow val="0"/>
        <u val="none"/>
        <vertAlign val="baseline"/>
        <sz val="10"/>
        <color rgb="FFFFFFFF"/>
        <name val="Calibri"/>
        <family val="2"/>
        <scheme val="none"/>
      </font>
      <fill>
        <patternFill patternType="none">
          <fgColor indexed="64"/>
          <bgColor auto="1"/>
        </patternFill>
      </fill>
      <alignment horizontal="center" vertical="center" textRotation="0" wrapText="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D5C1E"/>
      <rgbColor rgb="FF000080"/>
      <rgbColor rgb="FF5D8233"/>
      <rgbColor rgb="FF800080"/>
      <rgbColor rgb="FF008080"/>
      <rgbColor rgb="FFCCCCCC"/>
      <rgbColor rgb="FF808080"/>
      <rgbColor rgb="FF9999FF"/>
      <rgbColor rgb="FF993366"/>
      <rgbColor rgb="FFFFF3CD"/>
      <rgbColor rgb="FFE8F0E0"/>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EDF5E0"/>
      <rgbColor rgb="FFD6EAD7"/>
      <rgbColor rgb="FFFDECEA"/>
      <rgbColor rgb="FF99CCFF"/>
      <rgbColor rgb="FFFF99CC"/>
      <rgbColor rgb="FFCC99FF"/>
      <rgbColor rgb="FFFFCC99"/>
      <rgbColor rgb="FF3366FF"/>
      <rgbColor rgb="FF33CCCC"/>
      <rgbColor rgb="FF99CC00"/>
      <rgbColor rgb="FFFFCC00"/>
      <rgbColor rgb="FFD48E00"/>
      <rgbColor rgb="FFFF6600"/>
      <rgbColor rgb="FF666699"/>
      <rgbColor rgb="FF97BC62"/>
      <rgbColor rgb="FF003366"/>
      <rgbColor rgb="FF339966"/>
      <rgbColor rgb="FF003300"/>
      <rgbColor rgb="FF2C5F2D"/>
      <rgbColor rgb="FFC0392B"/>
      <rgbColor rgb="FF993366"/>
      <rgbColor rgb="FF333399"/>
      <rgbColor rgb="FF404040"/>
      <rgbColor rgb="00003366"/>
      <rgbColor rgb="00339966"/>
      <rgbColor rgb="00003300"/>
      <rgbColor rgb="00333300"/>
      <rgbColor rgb="00993300"/>
      <rgbColor rgb="00993366"/>
      <rgbColor rgb="00333399"/>
      <rgbColor rgb="00333333"/>
    </indexedColors>
    <mruColors>
      <color rgb="FF40404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7314D56-09AD-BD4E-B7FD-C7A5E822FBA3}" name="Table2" displayName="Table2" ref="A1:A14" totalsRowShown="0" headerRowDxfId="55" dataDxfId="54" headerRowBorderDxfId="52" tableBorderDxfId="53" totalsRowBorderDxfId="51">
  <autoFilter ref="A1:A14" xr:uid="{87314D56-09AD-BD4E-B7FD-C7A5E822FBA3}"/>
  <tableColumns count="1">
    <tableColumn id="1" xr3:uid="{5E697CB3-726A-4148-B28D-25871B35CD1C}" name="Countries" dataDxfId="5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524FAB3-C025-284B-91B3-6CF52347929C}" name="Table3" displayName="Table3" ref="C1:C14" totalsRowShown="0" headerRowDxfId="49" dataDxfId="48" headerRowBorderDxfId="46" tableBorderDxfId="47" totalsRowBorderDxfId="45">
  <autoFilter ref="C1:C14" xr:uid="{6524FAB3-C025-284B-91B3-6CF52347929C}"/>
  <tableColumns count="1">
    <tableColumn id="1" xr3:uid="{FADCFCBF-0737-2148-8956-DE05CA501EAC}" name="MFL Themes" dataDxfId="4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356B163-F447-344E-BBE9-F0D1C1EE750C}" name="Table4" displayName="Table4" ref="E1:E6" totalsRowShown="0" headerRowDxfId="43" dataDxfId="42" headerRowBorderDxfId="40" tableBorderDxfId="41" totalsRowBorderDxfId="39">
  <autoFilter ref="E1:E6" xr:uid="{2356B163-F447-344E-BBE9-F0D1C1EE750C}"/>
  <tableColumns count="1">
    <tableColumn id="1" xr3:uid="{7BE0D7A2-27A1-7A41-9402-5EBCD6C3C92C}" name="Data types" dataDxfId="38"/>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A84D8BC-CB12-1540-9F81-F1669C5DC4DF}" name="Table5" displayName="Table5" ref="G1:G17" totalsRowShown="0" headerRowDxfId="37" dataDxfId="36" headerRowBorderDxfId="34" tableBorderDxfId="35" totalsRowBorderDxfId="33">
  <autoFilter ref="G1:G17" xr:uid="{3A84D8BC-CB12-1540-9F81-F1669C5DC4DF}"/>
  <tableColumns count="1">
    <tableColumn id="1" xr3:uid="{FD623737-3C06-8744-B286-E90484B63992}" name="CGIAR Centres / Sources" dataDxfId="3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3489A3F-11EB-D544-9710-8A574EFE7302}" name="Table6" displayName="Table6" ref="I1:I4" totalsRowShown="0" headerRowDxfId="31" dataDxfId="30" headerRowBorderDxfId="28" tableBorderDxfId="29" totalsRowBorderDxfId="27">
  <autoFilter ref="I1:I4" xr:uid="{83489A3F-11EB-D544-9710-8A574EFE7302}"/>
  <tableColumns count="1">
    <tableColumn id="1" xr3:uid="{8C91FFFF-0A84-F446-9B2D-5ABF9D0D1F9B}" name="Access levels" dataDxfId="26"/>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071CF2B-BE02-FB4E-88F2-FA1046696703}" name="Table7" displayName="Table7" ref="K1:K6" totalsRowShown="0" headerRowDxfId="25" dataDxfId="24" headerRowBorderDxfId="22" tableBorderDxfId="23" totalsRowBorderDxfId="21">
  <autoFilter ref="K1:K6" xr:uid="{8071CF2B-BE02-FB4E-88F2-FA1046696703}"/>
  <tableColumns count="1">
    <tableColumn id="1" xr3:uid="{5294C572-10AD-C041-B59F-243346395788}" name="Licenses" dataDxfId="2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ED59729-56D7-6A45-ACCB-EFE9BD9D961C}" name="Table8" displayName="Table8" ref="M1:M4" totalsRowShown="0" headerRowDxfId="19" dataDxfId="18" headerRowBorderDxfId="16" tableBorderDxfId="17" totalsRowBorderDxfId="15">
  <autoFilter ref="M1:M4" xr:uid="{9ED59729-56D7-6A45-ACCB-EFE9BD9D961C}"/>
  <tableColumns count="1">
    <tableColumn id="1" xr3:uid="{C00C7DC0-E681-AE42-AA6A-0ECE7141D8A1}" name="Processing status" dataDxfId="14"/>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F868284-F34E-6947-A5AA-05B0154DA0AE}" name="Table9" displayName="Table9" ref="O1:O3" totalsRowShown="0" headerRowDxfId="13" dataDxfId="12" headerRowBorderDxfId="10" tableBorderDxfId="11" totalsRowBorderDxfId="9">
  <autoFilter ref="O1:O3" xr:uid="{1F868284-F34E-6947-A5AA-05B0154DA0AE}"/>
  <tableColumns count="1">
    <tableColumn id="1" xr3:uid="{8569107E-4995-1E44-ADCE-C4E0949F549B}" name="Migration status" dataDxfId="8"/>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6AC59E8-4A30-E24F-B866-97368FCCDC4D}" name="Table11" displayName="Table11" ref="Q1:Q7" totalsRowShown="0" headerRowDxfId="7" dataDxfId="6">
  <autoFilter ref="Q1:Q7" xr:uid="{56AC59E8-4A30-E24F-B866-97368FCCDC4D}"/>
  <tableColumns count="1">
    <tableColumn id="1" xr3:uid="{548F67D3-89DA-B942-A0A3-EBE07EC9B04D}" name="Update frequency" dataDxfId="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3.xml.rels><?xml version="1.0" encoding="UTF-8" standalone="yes"?>
<Relationships xmlns="http://schemas.openxmlformats.org/package/2006/relationships"><Relationship Id="rId13" Type="http://schemas.openxmlformats.org/officeDocument/2006/relationships/hyperlink" Target="mailto:h.gaisberger@cgiar.org" TargetMode="External"/><Relationship Id="rId18" Type="http://schemas.openxmlformats.org/officeDocument/2006/relationships/hyperlink" Target="mailto:Telma.SIBANDA@um6p.ma" TargetMode="External"/><Relationship Id="rId26" Type="http://schemas.openxmlformats.org/officeDocument/2006/relationships/hyperlink" Target="mailto:s.douangsavanh@cgiar.org" TargetMode="External"/><Relationship Id="rId3" Type="http://schemas.openxmlformats.org/officeDocument/2006/relationships/hyperlink" Target="https://zenodo.org/records/10846594" TargetMode="External"/><Relationship Id="rId21" Type="http://schemas.openxmlformats.org/officeDocument/2006/relationships/hyperlink" Target="https://www.geoboundaries.org/" TargetMode="External"/><Relationship Id="rId34" Type="http://schemas.openxmlformats.org/officeDocument/2006/relationships/hyperlink" Target="https://data.cipotato.org/" TargetMode="External"/><Relationship Id="rId7" Type="http://schemas.openxmlformats.org/officeDocument/2006/relationships/hyperlink" Target="mailto:dieyemohamadou@gmail.com" TargetMode="External"/><Relationship Id="rId12" Type="http://schemas.openxmlformats.org/officeDocument/2006/relationships/hyperlink" Target="https://power.larc.nasa.gov/data-access-viewer/" TargetMode="External"/><Relationship Id="rId17" Type="http://schemas.openxmlformats.org/officeDocument/2006/relationships/hyperlink" Target="https://gadm.org/" TargetMode="External"/><Relationship Id="rId25" Type="http://schemas.openxmlformats.org/officeDocument/2006/relationships/hyperlink" Target="mailto:s.douangsavanh@cgiar.org" TargetMode="External"/><Relationship Id="rId33" Type="http://schemas.openxmlformats.org/officeDocument/2006/relationships/hyperlink" Target="https://data.cipotato.org/" TargetMode="External"/><Relationship Id="rId2" Type="http://schemas.openxmlformats.org/officeDocument/2006/relationships/hyperlink" Target="https://www.data.gov.in/catalog/average-yield-principal-crops" TargetMode="External"/><Relationship Id="rId16" Type="http://schemas.openxmlformats.org/officeDocument/2006/relationships/hyperlink" Target="mailto:Telma.SIBANDA@um6p.ma" TargetMode="External"/><Relationship Id="rId20" Type="http://schemas.openxmlformats.org/officeDocument/2006/relationships/hyperlink" Target="mailto:Telma.SIBANDA@um6p.ma" TargetMode="External"/><Relationship Id="rId29" Type="http://schemas.openxmlformats.org/officeDocument/2006/relationships/hyperlink" Target="mailto:javier.ochoa@cgiar.org" TargetMode="External"/><Relationship Id="rId1" Type="http://schemas.openxmlformats.org/officeDocument/2006/relationships/hyperlink" Target="https://drive.google.com/file/d/1CPV03S47s0asEJqdAozbNOT1lkgr0YkG/view?usp=sharing" TargetMode="External"/><Relationship Id="rId6" Type="http://schemas.openxmlformats.org/officeDocument/2006/relationships/hyperlink" Target="mailto:dieyemohamadou@gmail.com" TargetMode="External"/><Relationship Id="rId11" Type="http://schemas.openxmlformats.org/officeDocument/2006/relationships/hyperlink" Target="https://gadm.org/" TargetMode="External"/><Relationship Id="rId24" Type="http://schemas.openxmlformats.org/officeDocument/2006/relationships/hyperlink" Target="https://dataverse.harvard.edu/citation?persistentId=doi:10.7910/DVN/2ZQTB2" TargetMode="External"/><Relationship Id="rId32" Type="http://schemas.openxmlformats.org/officeDocument/2006/relationships/hyperlink" Target="https://data.cipotato.org/" TargetMode="External"/><Relationship Id="rId5" Type="http://schemas.openxmlformats.org/officeDocument/2006/relationships/hyperlink" Target="https://github.com/core-stack-org/QGIS-Styles/blob/main/Land/LULC0_12class.qml" TargetMode="External"/><Relationship Id="rId15" Type="http://schemas.openxmlformats.org/officeDocument/2006/relationships/hyperlink" Target="mailto:Telma.SIBANDA@um6p.ma" TargetMode="External"/><Relationship Id="rId23" Type="http://schemas.openxmlformats.org/officeDocument/2006/relationships/hyperlink" Target="https://www.geoboundaries.org/" TargetMode="External"/><Relationship Id="rId28" Type="http://schemas.openxmlformats.org/officeDocument/2006/relationships/hyperlink" Target="mailto:s.douangsavanh@cgiar.org" TargetMode="External"/><Relationship Id="rId10" Type="http://schemas.openxmlformats.org/officeDocument/2006/relationships/hyperlink" Target="https://gadm.org/" TargetMode="External"/><Relationship Id="rId19" Type="http://schemas.openxmlformats.org/officeDocument/2006/relationships/hyperlink" Target="mailto:Telma.SIBANDA@um6p.ma" TargetMode="External"/><Relationship Id="rId31" Type="http://schemas.openxmlformats.org/officeDocument/2006/relationships/hyperlink" Target="mailto:javier.ochoa@cgiar.org" TargetMode="External"/><Relationship Id="rId4" Type="http://schemas.openxmlformats.org/officeDocument/2006/relationships/hyperlink" Target="https://github.com/core-stack-org/QGIS-Styles/blob/main/Tree%20Health/ccd_style.qml" TargetMode="External"/><Relationship Id="rId9" Type="http://schemas.openxmlformats.org/officeDocument/2006/relationships/hyperlink" Target="https://gadm.org/" TargetMode="External"/><Relationship Id="rId14" Type="http://schemas.openxmlformats.org/officeDocument/2006/relationships/hyperlink" Target="mailto:Telma.SIBANDA@um6p.ma" TargetMode="External"/><Relationship Id="rId22" Type="http://schemas.openxmlformats.org/officeDocument/2006/relationships/hyperlink" Target="https://www.geoboundaries.org/" TargetMode="External"/><Relationship Id="rId27" Type="http://schemas.openxmlformats.org/officeDocument/2006/relationships/hyperlink" Target="mailto:s.douangsavanh@cgiar.org" TargetMode="External"/><Relationship Id="rId30" Type="http://schemas.openxmlformats.org/officeDocument/2006/relationships/hyperlink" Target="mailto:javier.ochoa@cgiar.org" TargetMode="External"/><Relationship Id="rId8" Type="http://schemas.openxmlformats.org/officeDocument/2006/relationships/hyperlink" Target="https://livingatlas.arcgis.com/landcoverexplore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2"/>
  <sheetViews>
    <sheetView zoomScale="170" zoomScaleNormal="170" workbookViewId="0">
      <selection activeCell="H3" sqref="H3"/>
    </sheetView>
  </sheetViews>
  <sheetFormatPr defaultColWidth="8.5703125" defaultRowHeight="14.45"/>
  <cols>
    <col min="1" max="1" width="2" customWidth="1"/>
    <col min="2" max="2" width="24" customWidth="1"/>
    <col min="3" max="3" width="68" customWidth="1"/>
  </cols>
  <sheetData>
    <row r="1" spans="1:3" ht="49.5" customHeight="1">
      <c r="A1" s="30" t="s">
        <v>0</v>
      </c>
      <c r="B1" s="30"/>
      <c r="C1" s="30"/>
    </row>
    <row r="3" spans="1:3" ht="48" customHeight="1">
      <c r="B3" s="1" t="s">
        <v>1</v>
      </c>
      <c r="C3" s="2" t="s">
        <v>2</v>
      </c>
    </row>
    <row r="5" spans="1:3" ht="58.15" customHeight="1">
      <c r="B5" s="1" t="s">
        <v>3</v>
      </c>
      <c r="C5" s="2" t="s">
        <v>4</v>
      </c>
    </row>
    <row r="7" spans="1:3" ht="75" customHeight="1">
      <c r="B7" s="1" t="s">
        <v>5</v>
      </c>
      <c r="C7" s="2" t="s">
        <v>6</v>
      </c>
    </row>
    <row r="9" spans="1:3" ht="68.099999999999994" customHeight="1">
      <c r="B9" s="1" t="s">
        <v>7</v>
      </c>
      <c r="C9" s="2" t="s">
        <v>8</v>
      </c>
    </row>
    <row r="12" spans="1:3" ht="58.15" customHeight="1">
      <c r="B12" s="1" t="s">
        <v>9</v>
      </c>
      <c r="C12" s="2" t="s">
        <v>10</v>
      </c>
    </row>
  </sheetData>
  <mergeCells count="1">
    <mergeCell ref="A1:C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7"/>
  <sheetViews>
    <sheetView zoomScale="150" zoomScaleNormal="150" workbookViewId="0">
      <selection activeCell="C25" sqref="C25"/>
    </sheetView>
  </sheetViews>
  <sheetFormatPr defaultColWidth="8.5703125" defaultRowHeight="14.45"/>
  <cols>
    <col min="1" max="1" width="38" customWidth="1"/>
    <col min="3" max="3" width="38" customWidth="1"/>
    <col min="5" max="5" width="38" customWidth="1"/>
    <col min="7" max="7" width="38" customWidth="1"/>
    <col min="9" max="9" width="38" customWidth="1"/>
    <col min="11" max="11" width="38" customWidth="1"/>
    <col min="13" max="13" width="38" customWidth="1"/>
    <col min="15" max="15" width="38" hidden="1" customWidth="1"/>
    <col min="16" max="16" width="0" hidden="1" customWidth="1"/>
    <col min="17" max="17" width="16.42578125" customWidth="1"/>
  </cols>
  <sheetData>
    <row r="1" spans="1:17" ht="19.5" customHeight="1">
      <c r="A1" s="9" t="s">
        <v>11</v>
      </c>
      <c r="C1" s="9" t="s">
        <v>12</v>
      </c>
      <c r="E1" s="9" t="s">
        <v>13</v>
      </c>
      <c r="G1" s="9" t="s">
        <v>14</v>
      </c>
      <c r="I1" s="9" t="s">
        <v>15</v>
      </c>
      <c r="K1" s="9" t="s">
        <v>16</v>
      </c>
      <c r="M1" s="9" t="s">
        <v>17</v>
      </c>
      <c r="O1" s="9" t="s">
        <v>18</v>
      </c>
      <c r="Q1" s="11" t="s">
        <v>19</v>
      </c>
    </row>
    <row r="2" spans="1:17">
      <c r="A2" s="6" t="s">
        <v>20</v>
      </c>
      <c r="C2" s="6" t="s">
        <v>21</v>
      </c>
      <c r="E2" s="6" t="s">
        <v>22</v>
      </c>
      <c r="G2" s="6" t="s">
        <v>23</v>
      </c>
      <c r="I2" s="6" t="s">
        <v>24</v>
      </c>
      <c r="K2" s="6" t="s">
        <v>25</v>
      </c>
      <c r="M2" s="6" t="s">
        <v>26</v>
      </c>
      <c r="O2" s="6" t="s">
        <v>27</v>
      </c>
      <c r="Q2" s="12" t="s">
        <v>28</v>
      </c>
    </row>
    <row r="3" spans="1:17">
      <c r="A3" s="6" t="s">
        <v>29</v>
      </c>
      <c r="C3" s="6" t="s">
        <v>30</v>
      </c>
      <c r="E3" s="6" t="s">
        <v>31</v>
      </c>
      <c r="G3" s="6" t="s">
        <v>32</v>
      </c>
      <c r="I3" s="6" t="s">
        <v>33</v>
      </c>
      <c r="K3" s="6" t="s">
        <v>34</v>
      </c>
      <c r="M3" s="6" t="s">
        <v>35</v>
      </c>
      <c r="O3" s="10" t="s">
        <v>36</v>
      </c>
      <c r="Q3" s="12" t="s">
        <v>37</v>
      </c>
    </row>
    <row r="4" spans="1:17">
      <c r="A4" s="6" t="s">
        <v>38</v>
      </c>
      <c r="C4" s="6" t="s">
        <v>39</v>
      </c>
      <c r="E4" s="6" t="s">
        <v>40</v>
      </c>
      <c r="G4" s="6" t="s">
        <v>41</v>
      </c>
      <c r="I4" s="10" t="s">
        <v>42</v>
      </c>
      <c r="K4" s="6" t="s">
        <v>43</v>
      </c>
      <c r="M4" s="10" t="s">
        <v>44</v>
      </c>
      <c r="Q4" s="12" t="s">
        <v>45</v>
      </c>
    </row>
    <row r="5" spans="1:17">
      <c r="A5" s="6" t="s">
        <v>46</v>
      </c>
      <c r="C5" s="6" t="s">
        <v>47</v>
      </c>
      <c r="E5" s="6" t="s">
        <v>48</v>
      </c>
      <c r="G5" s="6" t="s">
        <v>49</v>
      </c>
      <c r="K5" s="6" t="s">
        <v>50</v>
      </c>
      <c r="Q5" s="12" t="s">
        <v>51</v>
      </c>
    </row>
    <row r="6" spans="1:17">
      <c r="A6" s="6" t="s">
        <v>52</v>
      </c>
      <c r="C6" s="6" t="s">
        <v>53</v>
      </c>
      <c r="E6" s="10" t="s">
        <v>54</v>
      </c>
      <c r="G6" s="6" t="s">
        <v>55</v>
      </c>
      <c r="K6" s="10" t="s">
        <v>56</v>
      </c>
      <c r="Q6" s="12" t="s">
        <v>57</v>
      </c>
    </row>
    <row r="7" spans="1:17">
      <c r="A7" s="6" t="s">
        <v>58</v>
      </c>
      <c r="C7" s="6" t="s">
        <v>59</v>
      </c>
      <c r="G7" s="6" t="s">
        <v>60</v>
      </c>
      <c r="Q7" s="12" t="s">
        <v>61</v>
      </c>
    </row>
    <row r="8" spans="1:17">
      <c r="A8" s="10" t="s">
        <v>62</v>
      </c>
      <c r="C8" s="6" t="s">
        <v>63</v>
      </c>
      <c r="G8" s="6" t="s">
        <v>64</v>
      </c>
    </row>
    <row r="9" spans="1:17">
      <c r="A9" s="10" t="s">
        <v>65</v>
      </c>
      <c r="C9" s="6" t="s">
        <v>66</v>
      </c>
      <c r="G9" s="6" t="s">
        <v>67</v>
      </c>
    </row>
    <row r="10" spans="1:17">
      <c r="A10" s="10" t="s">
        <v>68</v>
      </c>
      <c r="C10" s="6" t="s">
        <v>69</v>
      </c>
      <c r="G10" s="6" t="s">
        <v>70</v>
      </c>
    </row>
    <row r="11" spans="1:17">
      <c r="A11" s="10" t="s">
        <v>71</v>
      </c>
      <c r="C11" s="6" t="s">
        <v>72</v>
      </c>
      <c r="G11" s="6" t="s">
        <v>73</v>
      </c>
    </row>
    <row r="12" spans="1:17">
      <c r="A12" s="10" t="s">
        <v>74</v>
      </c>
      <c r="C12" s="6" t="s">
        <v>75</v>
      </c>
      <c r="G12" s="6" t="s">
        <v>76</v>
      </c>
    </row>
    <row r="13" spans="1:17">
      <c r="A13" s="10" t="s">
        <v>77</v>
      </c>
      <c r="C13" s="6" t="s">
        <v>78</v>
      </c>
      <c r="G13" s="6" t="s">
        <v>79</v>
      </c>
    </row>
    <row r="14" spans="1:17">
      <c r="A14" s="10" t="s">
        <v>80</v>
      </c>
      <c r="C14" s="10" t="s">
        <v>81</v>
      </c>
      <c r="G14" s="6" t="s">
        <v>82</v>
      </c>
    </row>
    <row r="15" spans="1:17">
      <c r="G15" s="6" t="s">
        <v>83</v>
      </c>
    </row>
    <row r="16" spans="1:17">
      <c r="G16" s="6" t="s">
        <v>84</v>
      </c>
    </row>
    <row r="17" spans="7:7">
      <c r="G17" s="10" t="s">
        <v>85</v>
      </c>
    </row>
  </sheetData>
  <pageMargins left="0.75" right="0.75" top="1" bottom="1" header="0.511811023622047" footer="0.511811023622047"/>
  <pageSetup paperSize="9" orientation="portrait" horizontalDpi="300" verticalDpi="300"/>
  <tableParts count="9">
    <tablePart r:id="rId1"/>
    <tablePart r:id="rId2"/>
    <tablePart r:id="rId3"/>
    <tablePart r:id="rId4"/>
    <tablePart r:id="rId5"/>
    <tablePart r:id="rId6"/>
    <tablePart r:id="rId7"/>
    <tablePart r:id="rId8"/>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C5F2D"/>
    <pageSetUpPr fitToPage="1"/>
  </sheetPr>
  <dimension ref="A1:W103"/>
  <sheetViews>
    <sheetView tabSelected="1" zoomScale="110" zoomScaleNormal="110" workbookViewId="0">
      <pane xSplit="1" ySplit="2" topLeftCell="B3" activePane="bottomRight" state="frozen"/>
      <selection pane="bottomRight" activeCell="E109" sqref="E109"/>
      <selection pane="bottomLeft" activeCell="A6" sqref="A6"/>
      <selection pane="topRight" activeCell="B1" sqref="B1"/>
    </sheetView>
  </sheetViews>
  <sheetFormatPr defaultColWidth="8.5703125" defaultRowHeight="14.45"/>
  <cols>
    <col min="1" max="1" width="24" customWidth="1"/>
    <col min="2" max="2" width="45.28515625" customWidth="1"/>
    <col min="3" max="3" width="14" customWidth="1"/>
    <col min="4" max="4" width="24" customWidth="1"/>
    <col min="5" max="5" width="58.7109375" customWidth="1"/>
    <col min="6" max="6" width="14" customWidth="1"/>
    <col min="7" max="7" width="32.42578125" customWidth="1"/>
    <col min="8" max="8" width="18" customWidth="1"/>
    <col min="9" max="9" width="29.42578125" customWidth="1"/>
    <col min="10" max="10" width="41" customWidth="1"/>
    <col min="11" max="11" width="28.42578125" customWidth="1"/>
    <col min="12" max="12" width="36.5703125" customWidth="1"/>
    <col min="13" max="13" width="18" customWidth="1"/>
    <col min="14" max="14" width="13.85546875" customWidth="1"/>
    <col min="15" max="15" width="33.5703125" bestFit="1" customWidth="1"/>
    <col min="16" max="16" width="4.42578125" customWidth="1"/>
    <col min="17" max="17" width="12.28515625" customWidth="1"/>
    <col min="18" max="18" width="65.7109375" customWidth="1"/>
    <col min="19" max="19" width="5.85546875" hidden="1" customWidth="1"/>
    <col min="20" max="20" width="33.7109375" customWidth="1"/>
    <col min="21" max="21" width="37.5703125" customWidth="1"/>
    <col min="22" max="22" width="97.5703125" customWidth="1"/>
    <col min="23" max="23" width="11.28515625" style="28" bestFit="1" customWidth="1"/>
  </cols>
  <sheetData>
    <row r="1" spans="1:23" ht="31.5" customHeight="1">
      <c r="A1" s="8" t="s">
        <v>86</v>
      </c>
      <c r="B1" s="8" t="s">
        <v>87</v>
      </c>
      <c r="C1" s="8" t="s">
        <v>88</v>
      </c>
      <c r="D1" s="8" t="s">
        <v>89</v>
      </c>
      <c r="E1" s="8" t="s">
        <v>90</v>
      </c>
      <c r="F1" s="8" t="s">
        <v>91</v>
      </c>
      <c r="G1" s="8" t="s">
        <v>92</v>
      </c>
      <c r="H1" s="8" t="s">
        <v>93</v>
      </c>
      <c r="I1" s="8" t="s">
        <v>94</v>
      </c>
      <c r="J1" s="8" t="s">
        <v>95</v>
      </c>
      <c r="K1" s="8" t="s">
        <v>96</v>
      </c>
      <c r="L1" s="8" t="s">
        <v>97</v>
      </c>
      <c r="M1" s="8" t="s">
        <v>17</v>
      </c>
      <c r="N1" s="8" t="s">
        <v>98</v>
      </c>
      <c r="O1" s="8" t="s">
        <v>99</v>
      </c>
      <c r="P1" s="8" t="s">
        <v>18</v>
      </c>
      <c r="Q1" s="8" t="s">
        <v>100</v>
      </c>
      <c r="R1" s="8" t="s">
        <v>101</v>
      </c>
      <c r="S1" s="8" t="s">
        <v>102</v>
      </c>
      <c r="T1" s="8" t="s">
        <v>103</v>
      </c>
      <c r="U1" s="13" t="s">
        <v>19</v>
      </c>
      <c r="V1" s="13" t="s">
        <v>104</v>
      </c>
      <c r="W1" s="26" t="s">
        <v>105</v>
      </c>
    </row>
    <row r="2" spans="1:23" ht="35.1" customHeight="1">
      <c r="A2" s="3" t="s">
        <v>106</v>
      </c>
      <c r="B2" s="4" t="s">
        <v>107</v>
      </c>
      <c r="C2" s="4" t="s">
        <v>108</v>
      </c>
      <c r="D2" s="4" t="s">
        <v>108</v>
      </c>
      <c r="E2" s="4" t="s">
        <v>109</v>
      </c>
      <c r="F2" s="4" t="s">
        <v>110</v>
      </c>
      <c r="G2" s="4" t="s">
        <v>111</v>
      </c>
      <c r="H2" s="4" t="s">
        <v>112</v>
      </c>
      <c r="I2" s="4" t="s">
        <v>108</v>
      </c>
      <c r="J2" s="4" t="s">
        <v>113</v>
      </c>
      <c r="K2" s="4" t="s">
        <v>114</v>
      </c>
      <c r="L2" s="4" t="s">
        <v>108</v>
      </c>
      <c r="M2" s="4" t="s">
        <v>115</v>
      </c>
      <c r="N2" s="4" t="s">
        <v>116</v>
      </c>
      <c r="O2" s="4" t="s">
        <v>117</v>
      </c>
      <c r="P2" s="4" t="s">
        <v>118</v>
      </c>
      <c r="Q2" s="4" t="s">
        <v>119</v>
      </c>
      <c r="R2" s="4" t="s">
        <v>120</v>
      </c>
      <c r="S2" s="15" t="s">
        <v>121</v>
      </c>
      <c r="T2" s="4" t="s">
        <v>122</v>
      </c>
      <c r="U2" s="4" t="s">
        <v>123</v>
      </c>
      <c r="V2" s="4" t="s">
        <v>124</v>
      </c>
      <c r="W2" s="27" t="s">
        <v>125</v>
      </c>
    </row>
    <row r="3" spans="1:23" ht="21.75" customHeight="1">
      <c r="A3" s="5" t="str">
        <f t="shared" ref="A3:A27" si="0">IF(B3&lt;&gt;"","MFL-2026-"&amp;TEXT(ROW()-3,"000"),"")</f>
        <v>MFL-2026-000</v>
      </c>
      <c r="B3" s="6" t="s">
        <v>126</v>
      </c>
      <c r="C3" s="6" t="s">
        <v>38</v>
      </c>
      <c r="D3" s="6" t="s">
        <v>21</v>
      </c>
      <c r="E3" s="6" t="s">
        <v>127</v>
      </c>
      <c r="F3" s="6" t="s">
        <v>31</v>
      </c>
      <c r="G3" s="6" t="s">
        <v>128</v>
      </c>
      <c r="H3" s="6">
        <v>2025</v>
      </c>
      <c r="I3" s="6" t="s">
        <v>70</v>
      </c>
      <c r="J3" s="6" t="s">
        <v>129</v>
      </c>
      <c r="K3" s="6" t="s">
        <v>24</v>
      </c>
      <c r="L3" s="6" t="s">
        <v>25</v>
      </c>
      <c r="M3" s="6" t="s">
        <v>35</v>
      </c>
      <c r="N3" s="6"/>
      <c r="O3" s="6" t="s">
        <v>130</v>
      </c>
      <c r="P3" s="6"/>
      <c r="Q3" s="6"/>
      <c r="R3" s="6" t="s">
        <v>131</v>
      </c>
      <c r="S3" s="7"/>
      <c r="T3" s="6">
        <v>2026</v>
      </c>
      <c r="U3" s="16" t="s">
        <v>57</v>
      </c>
      <c r="V3" s="14" t="s">
        <v>132</v>
      </c>
    </row>
    <row r="4" spans="1:23" ht="21.75" customHeight="1">
      <c r="A4" s="5" t="str">
        <f t="shared" si="0"/>
        <v>MFL-2026-001</v>
      </c>
      <c r="B4" s="6" t="s">
        <v>133</v>
      </c>
      <c r="C4" s="6" t="s">
        <v>38</v>
      </c>
      <c r="D4" s="6" t="s">
        <v>30</v>
      </c>
      <c r="E4" s="6" t="s">
        <v>127</v>
      </c>
      <c r="F4" s="6" t="s">
        <v>22</v>
      </c>
      <c r="G4" s="6" t="s">
        <v>134</v>
      </c>
      <c r="H4" s="6" t="s">
        <v>135</v>
      </c>
      <c r="I4" s="6" t="s">
        <v>84</v>
      </c>
      <c r="J4" s="6" t="s">
        <v>129</v>
      </c>
      <c r="K4" s="6" t="s">
        <v>24</v>
      </c>
      <c r="L4" s="6" t="s">
        <v>25</v>
      </c>
      <c r="M4" s="6" t="s">
        <v>44</v>
      </c>
      <c r="N4" s="6"/>
      <c r="O4" s="6" t="s">
        <v>130</v>
      </c>
      <c r="P4" s="6"/>
      <c r="Q4" s="6"/>
      <c r="R4" s="6" t="s">
        <v>136</v>
      </c>
      <c r="S4" s="7"/>
      <c r="T4" s="6" t="s">
        <v>135</v>
      </c>
      <c r="U4" s="16" t="s">
        <v>28</v>
      </c>
      <c r="V4" s="19" t="s">
        <v>137</v>
      </c>
    </row>
    <row r="5" spans="1:23" ht="21.75" customHeight="1">
      <c r="A5" s="5" t="str">
        <f t="shared" si="0"/>
        <v>MFL-2026-002</v>
      </c>
      <c r="B5" s="6" t="s">
        <v>138</v>
      </c>
      <c r="C5" s="6" t="s">
        <v>38</v>
      </c>
      <c r="D5" s="6" t="s">
        <v>53</v>
      </c>
      <c r="E5" s="6" t="s">
        <v>127</v>
      </c>
      <c r="F5" s="6" t="s">
        <v>22</v>
      </c>
      <c r="G5" s="6">
        <v>5000</v>
      </c>
      <c r="H5" s="6" t="s">
        <v>135</v>
      </c>
      <c r="I5" s="6" t="s">
        <v>83</v>
      </c>
      <c r="J5" s="6" t="s">
        <v>129</v>
      </c>
      <c r="K5" s="6" t="s">
        <v>24</v>
      </c>
      <c r="L5" s="6" t="s">
        <v>25</v>
      </c>
      <c r="M5" s="6" t="s">
        <v>35</v>
      </c>
      <c r="N5" s="6"/>
      <c r="O5" s="6" t="s">
        <v>130</v>
      </c>
      <c r="P5" s="6"/>
      <c r="Q5" s="6"/>
      <c r="R5" s="6" t="s">
        <v>139</v>
      </c>
      <c r="S5" s="7"/>
      <c r="T5" s="6" t="s">
        <v>135</v>
      </c>
      <c r="U5" s="16" t="s">
        <v>28</v>
      </c>
      <c r="V5" s="14" t="s">
        <v>132</v>
      </c>
    </row>
    <row r="6" spans="1:23" ht="21.75" customHeight="1">
      <c r="A6" s="5" t="str">
        <f t="shared" si="0"/>
        <v>MFL-2026-003</v>
      </c>
      <c r="B6" s="6" t="s">
        <v>140</v>
      </c>
      <c r="C6" s="6" t="s">
        <v>38</v>
      </c>
      <c r="D6" s="6" t="s">
        <v>53</v>
      </c>
      <c r="E6" s="6" t="s">
        <v>127</v>
      </c>
      <c r="F6" s="6" t="s">
        <v>40</v>
      </c>
      <c r="G6" s="6">
        <v>25000</v>
      </c>
      <c r="H6" s="6" t="s">
        <v>135</v>
      </c>
      <c r="I6" s="6" t="s">
        <v>84</v>
      </c>
      <c r="J6" s="6" t="s">
        <v>129</v>
      </c>
      <c r="K6" s="6" t="s">
        <v>24</v>
      </c>
      <c r="L6" s="6" t="s">
        <v>56</v>
      </c>
      <c r="M6" s="6" t="s">
        <v>44</v>
      </c>
      <c r="N6" s="6"/>
      <c r="O6" s="6" t="s">
        <v>141</v>
      </c>
      <c r="P6" s="6"/>
      <c r="Q6" s="6"/>
      <c r="R6" s="6" t="s">
        <v>139</v>
      </c>
      <c r="S6" s="7"/>
      <c r="T6" s="6">
        <v>2025</v>
      </c>
      <c r="U6" s="16" t="s">
        <v>28</v>
      </c>
      <c r="V6" s="20" t="s">
        <v>142</v>
      </c>
    </row>
    <row r="7" spans="1:23" ht="21.75" customHeight="1">
      <c r="A7" s="5" t="str">
        <f t="shared" si="0"/>
        <v>MFL-2026-004</v>
      </c>
      <c r="B7" s="6" t="s">
        <v>143</v>
      </c>
      <c r="C7" s="6" t="s">
        <v>38</v>
      </c>
      <c r="D7" s="6" t="s">
        <v>81</v>
      </c>
      <c r="E7" s="6" t="s">
        <v>127</v>
      </c>
      <c r="F7" s="6" t="s">
        <v>40</v>
      </c>
      <c r="G7" s="6" t="s">
        <v>144</v>
      </c>
      <c r="H7" s="6">
        <v>2023</v>
      </c>
      <c r="I7" s="6" t="s">
        <v>84</v>
      </c>
      <c r="J7" s="6" t="s">
        <v>129</v>
      </c>
      <c r="K7" s="6" t="s">
        <v>24</v>
      </c>
      <c r="L7" s="6" t="s">
        <v>56</v>
      </c>
      <c r="M7" s="6" t="s">
        <v>44</v>
      </c>
      <c r="N7" s="6"/>
      <c r="O7" s="6" t="s">
        <v>145</v>
      </c>
      <c r="P7" s="6"/>
      <c r="Q7" s="6"/>
      <c r="R7" s="6" t="s">
        <v>146</v>
      </c>
      <c r="S7" s="7"/>
      <c r="T7" s="6">
        <v>2023</v>
      </c>
      <c r="U7" s="16" t="s">
        <v>28</v>
      </c>
      <c r="V7" s="14" t="s">
        <v>147</v>
      </c>
    </row>
    <row r="8" spans="1:23" ht="21.75" customHeight="1">
      <c r="A8" s="5" t="str">
        <f t="shared" si="0"/>
        <v>MFL-2026-005</v>
      </c>
      <c r="B8" s="6" t="s">
        <v>148</v>
      </c>
      <c r="C8" s="6" t="s">
        <v>38</v>
      </c>
      <c r="D8" s="6" t="s">
        <v>59</v>
      </c>
      <c r="E8" s="6" t="s">
        <v>127</v>
      </c>
      <c r="F8" s="6" t="s">
        <v>40</v>
      </c>
      <c r="G8" s="6" t="s">
        <v>144</v>
      </c>
      <c r="H8" s="6">
        <v>2023</v>
      </c>
      <c r="I8" s="6" t="s">
        <v>84</v>
      </c>
      <c r="J8" s="6" t="s">
        <v>129</v>
      </c>
      <c r="K8" s="6" t="s">
        <v>24</v>
      </c>
      <c r="L8" s="6" t="s">
        <v>56</v>
      </c>
      <c r="M8" s="6" t="s">
        <v>44</v>
      </c>
      <c r="N8" s="6"/>
      <c r="O8" s="6" t="s">
        <v>145</v>
      </c>
      <c r="P8" s="6"/>
      <c r="Q8" s="6"/>
      <c r="R8" s="6" t="s">
        <v>149</v>
      </c>
      <c r="S8" s="7"/>
      <c r="T8" s="6">
        <v>2023</v>
      </c>
      <c r="U8" s="16" t="s">
        <v>28</v>
      </c>
      <c r="V8" s="14" t="s">
        <v>147</v>
      </c>
    </row>
    <row r="9" spans="1:23" ht="21.75" customHeight="1">
      <c r="A9" s="5" t="str">
        <f t="shared" si="0"/>
        <v>MFL-2026-006</v>
      </c>
      <c r="B9" s="6" t="s">
        <v>150</v>
      </c>
      <c r="C9" s="6" t="s">
        <v>38</v>
      </c>
      <c r="D9" s="6" t="s">
        <v>75</v>
      </c>
      <c r="E9" s="6" t="s">
        <v>127</v>
      </c>
      <c r="F9" s="6" t="s">
        <v>22</v>
      </c>
      <c r="G9" s="6" t="s">
        <v>151</v>
      </c>
      <c r="H9" s="6" t="s">
        <v>152</v>
      </c>
      <c r="I9" s="6" t="s">
        <v>70</v>
      </c>
      <c r="J9" s="6" t="s">
        <v>129</v>
      </c>
      <c r="K9" s="6" t="s">
        <v>42</v>
      </c>
      <c r="L9" s="6" t="s">
        <v>50</v>
      </c>
      <c r="M9" s="6" t="s">
        <v>35</v>
      </c>
      <c r="N9" s="6"/>
      <c r="O9" s="6" t="s">
        <v>153</v>
      </c>
      <c r="P9" s="6"/>
      <c r="Q9" s="6"/>
      <c r="R9" s="6" t="s">
        <v>154</v>
      </c>
      <c r="S9" s="7"/>
      <c r="T9" s="6">
        <v>2019</v>
      </c>
      <c r="U9" s="16" t="s">
        <v>28</v>
      </c>
      <c r="V9" s="20" t="s">
        <v>155</v>
      </c>
    </row>
    <row r="10" spans="1:23" ht="21.75" customHeight="1">
      <c r="A10" s="5" t="str">
        <f t="shared" si="0"/>
        <v>MFL-2026-007</v>
      </c>
      <c r="B10" s="6" t="s">
        <v>156</v>
      </c>
      <c r="C10" s="6" t="s">
        <v>38</v>
      </c>
      <c r="D10" s="6" t="s">
        <v>75</v>
      </c>
      <c r="E10" s="6" t="s">
        <v>127</v>
      </c>
      <c r="F10" s="6" t="s">
        <v>22</v>
      </c>
      <c r="G10" s="6" t="s">
        <v>157</v>
      </c>
      <c r="H10" s="6">
        <v>2025</v>
      </c>
      <c r="I10" s="6" t="s">
        <v>70</v>
      </c>
      <c r="J10" s="6" t="s">
        <v>129</v>
      </c>
      <c r="K10" s="6" t="s">
        <v>42</v>
      </c>
      <c r="L10" s="6" t="s">
        <v>50</v>
      </c>
      <c r="M10" s="6" t="s">
        <v>35</v>
      </c>
      <c r="N10" s="6"/>
      <c r="O10" s="6" t="s">
        <v>153</v>
      </c>
      <c r="P10" s="6"/>
      <c r="Q10" s="6"/>
      <c r="R10" s="6" t="s">
        <v>158</v>
      </c>
      <c r="S10" s="7"/>
      <c r="T10" s="6">
        <v>2025</v>
      </c>
      <c r="U10" s="16" t="s">
        <v>28</v>
      </c>
      <c r="V10" s="20" t="s">
        <v>159</v>
      </c>
    </row>
    <row r="11" spans="1:23" ht="21.75" customHeight="1">
      <c r="A11" s="5" t="str">
        <f t="shared" si="0"/>
        <v>MFL-2026-008</v>
      </c>
      <c r="B11" s="6" t="s">
        <v>160</v>
      </c>
      <c r="C11" s="6" t="s">
        <v>38</v>
      </c>
      <c r="D11" s="6" t="s">
        <v>78</v>
      </c>
      <c r="E11" s="6" t="s">
        <v>127</v>
      </c>
      <c r="F11" s="6" t="s">
        <v>40</v>
      </c>
      <c r="G11" s="6" t="s">
        <v>157</v>
      </c>
      <c r="H11" s="6">
        <v>2023</v>
      </c>
      <c r="I11" s="6" t="s">
        <v>84</v>
      </c>
      <c r="J11" s="6" t="s">
        <v>129</v>
      </c>
      <c r="K11" s="6" t="s">
        <v>24</v>
      </c>
      <c r="L11" s="6" t="s">
        <v>25</v>
      </c>
      <c r="M11" s="6" t="s">
        <v>35</v>
      </c>
      <c r="N11" s="6"/>
      <c r="O11" s="6" t="s">
        <v>130</v>
      </c>
      <c r="P11" s="6"/>
      <c r="Q11" s="6"/>
      <c r="R11" s="6" t="s">
        <v>161</v>
      </c>
      <c r="S11" s="7"/>
      <c r="T11" s="6">
        <v>2024</v>
      </c>
      <c r="U11" s="16" t="s">
        <v>28</v>
      </c>
      <c r="V11" s="17" t="s">
        <v>162</v>
      </c>
    </row>
    <row r="12" spans="1:23" ht="21.75" customHeight="1">
      <c r="A12" s="5" t="str">
        <f t="shared" si="0"/>
        <v>MFL-2026-009</v>
      </c>
      <c r="B12" s="6" t="s">
        <v>163</v>
      </c>
      <c r="C12" s="6" t="s">
        <v>38</v>
      </c>
      <c r="D12" s="6" t="s">
        <v>59</v>
      </c>
      <c r="E12" s="6" t="s">
        <v>127</v>
      </c>
      <c r="F12" s="6" t="s">
        <v>40</v>
      </c>
      <c r="G12" s="6" t="s">
        <v>157</v>
      </c>
      <c r="H12" s="6" t="s">
        <v>164</v>
      </c>
      <c r="I12" s="6" t="s">
        <v>84</v>
      </c>
      <c r="J12" s="6" t="s">
        <v>129</v>
      </c>
      <c r="K12" s="6" t="s">
        <v>24</v>
      </c>
      <c r="L12" s="6" t="s">
        <v>25</v>
      </c>
      <c r="M12" s="6" t="s">
        <v>44</v>
      </c>
      <c r="N12" s="6"/>
      <c r="O12" s="6" t="s">
        <v>165</v>
      </c>
      <c r="P12" s="6"/>
      <c r="Q12" s="6"/>
      <c r="R12" s="6" t="s">
        <v>166</v>
      </c>
      <c r="S12" s="7"/>
      <c r="T12" s="6">
        <v>2019</v>
      </c>
      <c r="U12" s="16" t="s">
        <v>28</v>
      </c>
      <c r="V12" s="21" t="s">
        <v>167</v>
      </c>
    </row>
    <row r="13" spans="1:23" ht="21.75" customHeight="1">
      <c r="A13" s="5" t="str">
        <f t="shared" si="0"/>
        <v>MFL-2026-010</v>
      </c>
      <c r="B13" s="6" t="s">
        <v>168</v>
      </c>
      <c r="C13" s="6" t="s">
        <v>38</v>
      </c>
      <c r="D13" s="6" t="s">
        <v>47</v>
      </c>
      <c r="E13" s="6" t="s">
        <v>127</v>
      </c>
      <c r="F13" s="6" t="s">
        <v>22</v>
      </c>
      <c r="G13" s="6" t="s">
        <v>144</v>
      </c>
      <c r="H13" s="6" t="s">
        <v>169</v>
      </c>
      <c r="I13" s="6" t="s">
        <v>84</v>
      </c>
      <c r="J13" s="6" t="s">
        <v>129</v>
      </c>
      <c r="K13" s="6" t="s">
        <v>24</v>
      </c>
      <c r="L13" s="6" t="s">
        <v>25</v>
      </c>
      <c r="M13" s="6" t="s">
        <v>44</v>
      </c>
      <c r="N13" s="6"/>
      <c r="O13" s="6" t="s">
        <v>165</v>
      </c>
      <c r="P13" s="6"/>
      <c r="Q13" s="6"/>
      <c r="R13" s="6" t="s">
        <v>170</v>
      </c>
      <c r="S13" s="7"/>
      <c r="T13" s="6">
        <v>2024</v>
      </c>
      <c r="U13" s="16" t="s">
        <v>28</v>
      </c>
      <c r="V13" s="20" t="s">
        <v>171</v>
      </c>
    </row>
    <row r="14" spans="1:23" ht="41.45">
      <c r="A14" s="5" t="str">
        <f t="shared" si="0"/>
        <v>MFL-2026-011</v>
      </c>
      <c r="B14" s="6" t="s">
        <v>172</v>
      </c>
      <c r="C14" s="6" t="s">
        <v>38</v>
      </c>
      <c r="D14" s="6" t="s">
        <v>39</v>
      </c>
      <c r="E14" s="6" t="s">
        <v>127</v>
      </c>
      <c r="F14" s="6" t="s">
        <v>22</v>
      </c>
      <c r="G14" s="6" t="s">
        <v>173</v>
      </c>
      <c r="H14" s="6" t="s">
        <v>174</v>
      </c>
      <c r="I14" s="6" t="s">
        <v>82</v>
      </c>
      <c r="J14" s="6" t="s">
        <v>129</v>
      </c>
      <c r="K14" s="6" t="s">
        <v>42</v>
      </c>
      <c r="L14" s="6" t="s">
        <v>50</v>
      </c>
      <c r="M14" s="6" t="s">
        <v>35</v>
      </c>
      <c r="N14" s="6"/>
      <c r="O14" s="6" t="s">
        <v>175</v>
      </c>
      <c r="P14" s="6"/>
      <c r="Q14" s="6"/>
      <c r="R14" s="6" t="s">
        <v>176</v>
      </c>
      <c r="S14" s="7"/>
      <c r="T14" s="6">
        <v>2025</v>
      </c>
      <c r="U14" s="16" t="s">
        <v>37</v>
      </c>
      <c r="V14" s="14" t="s">
        <v>177</v>
      </c>
    </row>
    <row r="15" spans="1:23" ht="42" customHeight="1">
      <c r="A15" s="5" t="str">
        <f t="shared" si="0"/>
        <v>MFL-2026-012</v>
      </c>
      <c r="B15" s="6" t="s">
        <v>178</v>
      </c>
      <c r="C15" s="6" t="s">
        <v>38</v>
      </c>
      <c r="D15" s="6" t="s">
        <v>47</v>
      </c>
      <c r="E15" s="6" t="s">
        <v>127</v>
      </c>
      <c r="F15" s="6" t="s">
        <v>22</v>
      </c>
      <c r="G15" s="6" t="s">
        <v>179</v>
      </c>
      <c r="H15" s="6">
        <v>2024</v>
      </c>
      <c r="I15" s="6" t="s">
        <v>84</v>
      </c>
      <c r="J15" s="6" t="s">
        <v>129</v>
      </c>
      <c r="K15" s="6" t="s">
        <v>24</v>
      </c>
      <c r="L15" s="6" t="s">
        <v>56</v>
      </c>
      <c r="M15" s="6" t="s">
        <v>35</v>
      </c>
      <c r="N15" s="6"/>
      <c r="O15" s="6" t="s">
        <v>180</v>
      </c>
      <c r="P15" s="6"/>
      <c r="Q15" s="6"/>
      <c r="R15" s="6" t="s">
        <v>181</v>
      </c>
      <c r="S15" s="7"/>
      <c r="T15" s="6">
        <v>2024</v>
      </c>
      <c r="U15" s="16" t="s">
        <v>57</v>
      </c>
      <c r="V15" s="18" t="s">
        <v>182</v>
      </c>
    </row>
    <row r="16" spans="1:23" ht="35.25" customHeight="1">
      <c r="A16" s="5" t="str">
        <f t="shared" si="0"/>
        <v>MFL-2026-013</v>
      </c>
      <c r="B16" s="6" t="s">
        <v>183</v>
      </c>
      <c r="C16" s="6" t="s">
        <v>38</v>
      </c>
      <c r="D16" s="6" t="s">
        <v>39</v>
      </c>
      <c r="E16" s="6" t="s">
        <v>127</v>
      </c>
      <c r="F16" s="6" t="s">
        <v>22</v>
      </c>
      <c r="G16" s="6" t="s">
        <v>184</v>
      </c>
      <c r="H16" s="6" t="s">
        <v>185</v>
      </c>
      <c r="I16" s="6" t="s">
        <v>84</v>
      </c>
      <c r="J16" s="6" t="s">
        <v>186</v>
      </c>
      <c r="K16" s="6" t="s">
        <v>24</v>
      </c>
      <c r="L16" s="6" t="s">
        <v>25</v>
      </c>
      <c r="M16" s="6" t="s">
        <v>35</v>
      </c>
      <c r="N16" s="6"/>
      <c r="O16" s="6" t="s">
        <v>187</v>
      </c>
      <c r="P16" s="6"/>
      <c r="Q16" s="6"/>
      <c r="R16" s="6" t="s">
        <v>188</v>
      </c>
      <c r="S16" s="7"/>
      <c r="T16" s="6">
        <v>2024</v>
      </c>
      <c r="U16" s="16" t="s">
        <v>28</v>
      </c>
      <c r="V16" s="18" t="s">
        <v>189</v>
      </c>
    </row>
    <row r="17" spans="1:23" ht="21.75" customHeight="1">
      <c r="A17" s="5" t="str">
        <f t="shared" si="0"/>
        <v>MFL-2026-014</v>
      </c>
      <c r="B17" s="6" t="s">
        <v>190</v>
      </c>
      <c r="C17" s="6" t="s">
        <v>38</v>
      </c>
      <c r="D17" s="6" t="s">
        <v>53</v>
      </c>
      <c r="E17" s="6" t="s">
        <v>127</v>
      </c>
      <c r="F17" s="6" t="s">
        <v>48</v>
      </c>
      <c r="G17" s="6" t="s">
        <v>184</v>
      </c>
      <c r="H17" s="6" t="s">
        <v>57</v>
      </c>
      <c r="I17" s="6" t="s">
        <v>84</v>
      </c>
      <c r="J17" s="6" t="s">
        <v>186</v>
      </c>
      <c r="K17" s="6" t="s">
        <v>24</v>
      </c>
      <c r="L17" s="6" t="s">
        <v>25</v>
      </c>
      <c r="M17" s="6" t="s">
        <v>35</v>
      </c>
      <c r="N17" s="6"/>
      <c r="O17" s="6" t="s">
        <v>187</v>
      </c>
      <c r="P17" s="6"/>
      <c r="Q17" s="6"/>
      <c r="R17" s="6" t="s">
        <v>191</v>
      </c>
      <c r="S17" s="7"/>
      <c r="T17" s="6">
        <v>2024</v>
      </c>
      <c r="U17" s="16" t="s">
        <v>57</v>
      </c>
      <c r="V17" s="18" t="s">
        <v>192</v>
      </c>
    </row>
    <row r="18" spans="1:23" ht="21.75" customHeight="1">
      <c r="A18" s="5" t="str">
        <f t="shared" si="0"/>
        <v>MFL-2026-015</v>
      </c>
      <c r="B18" s="6" t="s">
        <v>193</v>
      </c>
      <c r="C18" s="6" t="s">
        <v>38</v>
      </c>
      <c r="D18" s="6" t="s">
        <v>30</v>
      </c>
      <c r="E18" s="6" t="s">
        <v>127</v>
      </c>
      <c r="F18" s="6" t="s">
        <v>22</v>
      </c>
      <c r="G18" s="6" t="s">
        <v>134</v>
      </c>
      <c r="H18" s="6" t="s">
        <v>194</v>
      </c>
      <c r="I18" s="6" t="s">
        <v>84</v>
      </c>
      <c r="J18" s="6" t="s">
        <v>186</v>
      </c>
      <c r="K18" s="6" t="s">
        <v>24</v>
      </c>
      <c r="L18" s="6" t="s">
        <v>25</v>
      </c>
      <c r="M18" s="6" t="s">
        <v>44</v>
      </c>
      <c r="N18" s="6"/>
      <c r="O18" s="6" t="s">
        <v>187</v>
      </c>
      <c r="P18" s="6"/>
      <c r="Q18" s="6"/>
      <c r="R18" s="6" t="s">
        <v>195</v>
      </c>
      <c r="S18" s="7"/>
      <c r="T18" s="6">
        <v>2025</v>
      </c>
      <c r="U18" s="16" t="s">
        <v>28</v>
      </c>
      <c r="V18" s="17" t="s">
        <v>196</v>
      </c>
    </row>
    <row r="19" spans="1:23" ht="21.75" customHeight="1">
      <c r="A19" s="5" t="str">
        <f t="shared" si="0"/>
        <v>MFL-2026-016</v>
      </c>
      <c r="B19" s="6" t="s">
        <v>197</v>
      </c>
      <c r="C19" s="6" t="s">
        <v>38</v>
      </c>
      <c r="D19" s="6" t="s">
        <v>53</v>
      </c>
      <c r="E19" s="6" t="s">
        <v>127</v>
      </c>
      <c r="F19" s="6" t="s">
        <v>48</v>
      </c>
      <c r="G19" s="6"/>
      <c r="H19" s="6"/>
      <c r="I19" s="6"/>
      <c r="J19" s="6"/>
      <c r="K19" s="6"/>
      <c r="L19" s="6"/>
      <c r="M19" s="6"/>
      <c r="N19" s="6"/>
      <c r="O19" s="6"/>
      <c r="P19" s="6"/>
      <c r="Q19" s="6"/>
      <c r="R19" s="6"/>
      <c r="S19" s="7"/>
      <c r="T19" s="6"/>
      <c r="U19" s="16"/>
      <c r="V19" s="14"/>
    </row>
    <row r="20" spans="1:23" ht="21.75" customHeight="1">
      <c r="A20" s="5" t="str">
        <f t="shared" si="0"/>
        <v>MFL-2026-017</v>
      </c>
      <c r="B20" s="6" t="s">
        <v>198</v>
      </c>
      <c r="C20" s="6" t="s">
        <v>52</v>
      </c>
      <c r="D20" s="6" t="s">
        <v>30</v>
      </c>
      <c r="E20" s="6" t="s">
        <v>199</v>
      </c>
      <c r="F20" s="6" t="s">
        <v>22</v>
      </c>
      <c r="G20" s="6" t="s">
        <v>200</v>
      </c>
      <c r="H20" s="6" t="s">
        <v>201</v>
      </c>
      <c r="I20" s="6" t="s">
        <v>79</v>
      </c>
      <c r="J20" s="22" t="s">
        <v>202</v>
      </c>
      <c r="K20" s="6" t="s">
        <v>24</v>
      </c>
      <c r="L20" s="6" t="s">
        <v>25</v>
      </c>
      <c r="M20" s="6" t="s">
        <v>44</v>
      </c>
      <c r="N20" s="6"/>
      <c r="O20" s="6" t="s">
        <v>203</v>
      </c>
      <c r="P20" s="6"/>
      <c r="Q20" s="6"/>
      <c r="R20" s="6" t="s">
        <v>204</v>
      </c>
      <c r="S20" s="7"/>
      <c r="T20" s="6">
        <v>2025</v>
      </c>
      <c r="U20" s="16" t="s">
        <v>28</v>
      </c>
      <c r="V20" s="17" t="s">
        <v>205</v>
      </c>
    </row>
    <row r="21" spans="1:23" ht="21.75" customHeight="1">
      <c r="A21" s="5" t="str">
        <f t="shared" si="0"/>
        <v>MFL-2026-018</v>
      </c>
      <c r="B21" s="6" t="s">
        <v>206</v>
      </c>
      <c r="C21" s="6" t="s">
        <v>52</v>
      </c>
      <c r="D21" s="6" t="s">
        <v>21</v>
      </c>
      <c r="E21" s="6" t="s">
        <v>199</v>
      </c>
      <c r="F21" s="6" t="s">
        <v>31</v>
      </c>
      <c r="G21" s="6"/>
      <c r="H21" s="6"/>
      <c r="I21" s="6" t="s">
        <v>79</v>
      </c>
      <c r="J21" s="22" t="s">
        <v>202</v>
      </c>
      <c r="K21" s="6" t="s">
        <v>24</v>
      </c>
      <c r="L21" s="6" t="s">
        <v>25</v>
      </c>
      <c r="M21" s="6" t="s">
        <v>44</v>
      </c>
      <c r="N21" s="6"/>
      <c r="O21" s="6" t="s">
        <v>203</v>
      </c>
      <c r="P21" s="6"/>
      <c r="Q21" s="6"/>
      <c r="R21" s="6" t="s">
        <v>207</v>
      </c>
      <c r="S21" s="7"/>
      <c r="U21" s="16" t="s">
        <v>57</v>
      </c>
      <c r="V21" s="17" t="s">
        <v>208</v>
      </c>
    </row>
    <row r="22" spans="1:23" ht="21.75" customHeight="1">
      <c r="A22" s="5" t="str">
        <f t="shared" si="0"/>
        <v>MFL-2026-019</v>
      </c>
      <c r="B22" s="6" t="s">
        <v>209</v>
      </c>
      <c r="C22" s="6" t="s">
        <v>52</v>
      </c>
      <c r="D22" s="6" t="s">
        <v>21</v>
      </c>
      <c r="E22" s="6" t="s">
        <v>199</v>
      </c>
      <c r="F22" s="6" t="s">
        <v>31</v>
      </c>
      <c r="G22" s="6"/>
      <c r="H22" s="6"/>
      <c r="I22" s="6" t="s">
        <v>79</v>
      </c>
      <c r="J22" s="22" t="s">
        <v>202</v>
      </c>
      <c r="K22" s="6" t="s">
        <v>24</v>
      </c>
      <c r="L22" s="6" t="s">
        <v>25</v>
      </c>
      <c r="M22" s="6" t="s">
        <v>44</v>
      </c>
      <c r="N22" s="6"/>
      <c r="O22" s="6" t="s">
        <v>203</v>
      </c>
      <c r="P22" s="6"/>
      <c r="Q22" s="6"/>
      <c r="R22" s="6" t="s">
        <v>207</v>
      </c>
      <c r="S22" s="7"/>
      <c r="T22" s="6"/>
      <c r="U22" s="16" t="s">
        <v>57</v>
      </c>
      <c r="V22" s="17" t="s">
        <v>208</v>
      </c>
    </row>
    <row r="23" spans="1:23" ht="21.75" customHeight="1">
      <c r="A23" s="5" t="str">
        <f t="shared" si="0"/>
        <v>MFL-2026-020</v>
      </c>
      <c r="B23" s="6" t="s">
        <v>210</v>
      </c>
      <c r="C23" s="6" t="s">
        <v>52</v>
      </c>
      <c r="D23" s="6" t="s">
        <v>21</v>
      </c>
      <c r="E23" s="6" t="s">
        <v>199</v>
      </c>
      <c r="F23" s="6" t="s">
        <v>31</v>
      </c>
      <c r="G23" s="6"/>
      <c r="H23" s="6"/>
      <c r="I23" s="6" t="s">
        <v>79</v>
      </c>
      <c r="J23" s="22" t="s">
        <v>202</v>
      </c>
      <c r="K23" s="6" t="s">
        <v>24</v>
      </c>
      <c r="L23" s="6" t="s">
        <v>25</v>
      </c>
      <c r="M23" s="6" t="s">
        <v>44</v>
      </c>
      <c r="N23" s="6"/>
      <c r="O23" s="6" t="s">
        <v>203</v>
      </c>
      <c r="P23" s="6"/>
      <c r="Q23" s="6"/>
      <c r="R23" s="6" t="s">
        <v>207</v>
      </c>
      <c r="S23" s="7"/>
      <c r="T23" s="6"/>
      <c r="U23" s="16" t="s">
        <v>57</v>
      </c>
      <c r="V23" s="14"/>
    </row>
    <row r="24" spans="1:23" ht="21.75" customHeight="1">
      <c r="A24" s="5" t="str">
        <f t="shared" si="0"/>
        <v>MFL-2026-021</v>
      </c>
      <c r="B24" s="6" t="s">
        <v>211</v>
      </c>
      <c r="C24" s="6" t="s">
        <v>52</v>
      </c>
      <c r="D24" s="6" t="s">
        <v>21</v>
      </c>
      <c r="E24" s="6" t="s">
        <v>199</v>
      </c>
      <c r="F24" s="6" t="s">
        <v>31</v>
      </c>
      <c r="G24" s="6"/>
      <c r="H24" s="6"/>
      <c r="I24" s="6" t="s">
        <v>79</v>
      </c>
      <c r="J24" s="22" t="s">
        <v>202</v>
      </c>
      <c r="K24" s="6" t="s">
        <v>24</v>
      </c>
      <c r="L24" s="6" t="s">
        <v>25</v>
      </c>
      <c r="M24" s="6" t="s">
        <v>44</v>
      </c>
      <c r="N24" s="6"/>
      <c r="O24" s="6" t="s">
        <v>203</v>
      </c>
      <c r="P24" s="6"/>
      <c r="Q24" s="6"/>
      <c r="R24" s="6" t="s">
        <v>207</v>
      </c>
      <c r="S24" s="7"/>
      <c r="T24" s="6"/>
      <c r="U24" s="16" t="s">
        <v>57</v>
      </c>
      <c r="V24" s="17" t="s">
        <v>208</v>
      </c>
    </row>
    <row r="25" spans="1:23" ht="30.75" customHeight="1">
      <c r="A25" s="5" t="str">
        <f t="shared" si="0"/>
        <v>MFL-2026-022</v>
      </c>
      <c r="B25" s="6" t="s">
        <v>212</v>
      </c>
      <c r="C25" s="6" t="s">
        <v>52</v>
      </c>
      <c r="D25" s="6" t="s">
        <v>47</v>
      </c>
      <c r="E25" s="6" t="s">
        <v>213</v>
      </c>
      <c r="F25" s="6" t="s">
        <v>22</v>
      </c>
      <c r="G25" s="6" t="s">
        <v>214</v>
      </c>
      <c r="H25" s="6" t="s">
        <v>215</v>
      </c>
      <c r="I25" s="6" t="s">
        <v>79</v>
      </c>
      <c r="J25" s="22" t="s">
        <v>202</v>
      </c>
      <c r="K25" s="6" t="s">
        <v>24</v>
      </c>
      <c r="L25" s="6" t="s">
        <v>25</v>
      </c>
      <c r="M25" s="6" t="s">
        <v>35</v>
      </c>
      <c r="N25" s="6"/>
      <c r="O25" s="6" t="s">
        <v>216</v>
      </c>
      <c r="P25" s="6"/>
      <c r="Q25" s="6"/>
      <c r="R25" s="6" t="s">
        <v>217</v>
      </c>
      <c r="S25" s="7"/>
      <c r="T25" s="6">
        <v>2025</v>
      </c>
      <c r="U25" s="16" t="s">
        <v>28</v>
      </c>
      <c r="V25" s="24" t="s">
        <v>218</v>
      </c>
    </row>
    <row r="26" spans="1:23" ht="21.75" customHeight="1">
      <c r="A26" s="5" t="str">
        <f t="shared" si="0"/>
        <v>MFL-2026-023</v>
      </c>
      <c r="B26" s="6" t="s">
        <v>219</v>
      </c>
      <c r="C26" s="6" t="s">
        <v>52</v>
      </c>
      <c r="D26" s="6" t="s">
        <v>30</v>
      </c>
      <c r="E26" s="6" t="s">
        <v>199</v>
      </c>
      <c r="F26" s="6" t="s">
        <v>31</v>
      </c>
      <c r="G26" s="6"/>
      <c r="H26" s="6">
        <v>2021</v>
      </c>
      <c r="I26" s="6" t="s">
        <v>79</v>
      </c>
      <c r="J26" s="22" t="s">
        <v>202</v>
      </c>
      <c r="K26" s="6" t="s">
        <v>24</v>
      </c>
      <c r="L26" s="6" t="s">
        <v>25</v>
      </c>
      <c r="M26" s="6" t="s">
        <v>44</v>
      </c>
      <c r="N26" s="6"/>
      <c r="O26" s="6" t="s">
        <v>203</v>
      </c>
      <c r="P26" s="6"/>
      <c r="Q26" s="6"/>
      <c r="R26" s="6" t="s">
        <v>220</v>
      </c>
      <c r="S26" s="7"/>
      <c r="T26" s="6">
        <v>2021</v>
      </c>
      <c r="U26" s="16"/>
    </row>
    <row r="27" spans="1:23" ht="33.75" customHeight="1">
      <c r="A27" s="5" t="str">
        <f t="shared" si="0"/>
        <v>MFL-2026-024</v>
      </c>
      <c r="B27" s="6" t="s">
        <v>139</v>
      </c>
      <c r="C27" s="6" t="s">
        <v>52</v>
      </c>
      <c r="D27" s="6" t="s">
        <v>53</v>
      </c>
      <c r="E27" s="6" t="s">
        <v>199</v>
      </c>
      <c r="F27" s="6" t="s">
        <v>40</v>
      </c>
      <c r="G27" s="6"/>
      <c r="H27" s="6" t="s">
        <v>221</v>
      </c>
      <c r="I27" s="6" t="s">
        <v>79</v>
      </c>
      <c r="J27" s="22" t="s">
        <v>202</v>
      </c>
      <c r="K27" s="6" t="s">
        <v>24</v>
      </c>
      <c r="L27" s="6" t="s">
        <v>25</v>
      </c>
      <c r="M27" s="6" t="s">
        <v>35</v>
      </c>
      <c r="N27" s="6"/>
      <c r="O27" s="6" t="s">
        <v>216</v>
      </c>
      <c r="P27" s="6"/>
      <c r="Q27" s="6"/>
      <c r="R27" s="6" t="s">
        <v>222</v>
      </c>
      <c r="S27" s="7"/>
      <c r="T27" s="6">
        <v>2025</v>
      </c>
      <c r="U27" s="16" t="s">
        <v>28</v>
      </c>
      <c r="V27" s="23" t="s">
        <v>223</v>
      </c>
    </row>
    <row r="28" spans="1:23" ht="69">
      <c r="A28" s="5" t="str">
        <f t="shared" ref="A28:A33" si="1">IF(B28&lt;&gt;"","MFL-2026-"&amp;TEXT(ROW()-5,"000"),"")</f>
        <v>MFL-2026-023</v>
      </c>
      <c r="B28" s="6" t="s">
        <v>224</v>
      </c>
      <c r="C28" s="6" t="s">
        <v>20</v>
      </c>
      <c r="D28" s="6" t="s">
        <v>75</v>
      </c>
      <c r="E28" s="6" t="s">
        <v>225</v>
      </c>
      <c r="F28" s="6" t="s">
        <v>22</v>
      </c>
      <c r="G28" s="6" t="s">
        <v>226</v>
      </c>
      <c r="H28" s="6" t="s">
        <v>227</v>
      </c>
      <c r="I28" s="6" t="s">
        <v>23</v>
      </c>
      <c r="J28" s="22" t="s">
        <v>228</v>
      </c>
      <c r="K28" s="6" t="s">
        <v>24</v>
      </c>
      <c r="L28" s="6" t="s">
        <v>43</v>
      </c>
      <c r="M28" s="6" t="s">
        <v>44</v>
      </c>
      <c r="N28" s="6"/>
      <c r="O28" s="6" t="s">
        <v>229</v>
      </c>
      <c r="P28" s="6"/>
      <c r="Q28" s="6"/>
      <c r="R28" s="6" t="s">
        <v>230</v>
      </c>
      <c r="S28" s="7"/>
      <c r="T28" s="6">
        <v>2025</v>
      </c>
      <c r="U28" s="16"/>
      <c r="V28" s="23" t="s">
        <v>231</v>
      </c>
      <c r="W28" s="28" t="s">
        <v>232</v>
      </c>
    </row>
    <row r="29" spans="1:23" ht="21.75" customHeight="1">
      <c r="A29" s="5" t="str">
        <f t="shared" si="1"/>
        <v>MFL-2026-024</v>
      </c>
      <c r="B29" s="6" t="s">
        <v>233</v>
      </c>
      <c r="C29" s="6" t="s">
        <v>46</v>
      </c>
      <c r="D29" s="6" t="s">
        <v>47</v>
      </c>
      <c r="E29" s="6" t="s">
        <v>234</v>
      </c>
      <c r="F29" s="6" t="s">
        <v>40</v>
      </c>
      <c r="G29" s="6" t="s">
        <v>235</v>
      </c>
      <c r="H29" s="6">
        <v>2024</v>
      </c>
      <c r="I29" s="6" t="s">
        <v>32</v>
      </c>
      <c r="J29" s="22" t="s">
        <v>236</v>
      </c>
      <c r="K29" s="6" t="s">
        <v>24</v>
      </c>
      <c r="L29" s="6" t="s">
        <v>43</v>
      </c>
      <c r="M29" s="6" t="s">
        <v>35</v>
      </c>
      <c r="N29" s="6"/>
      <c r="O29" s="6" t="s">
        <v>203</v>
      </c>
      <c r="P29" s="6"/>
      <c r="Q29" s="6"/>
      <c r="R29" s="6" t="s">
        <v>237</v>
      </c>
      <c r="S29" s="7"/>
      <c r="T29" s="6">
        <v>2024</v>
      </c>
      <c r="U29" s="16" t="s">
        <v>57</v>
      </c>
      <c r="V29" t="s">
        <v>177</v>
      </c>
    </row>
    <row r="30" spans="1:23" ht="21.75" customHeight="1">
      <c r="A30" s="5" t="str">
        <f t="shared" si="1"/>
        <v>MFL-2026-025</v>
      </c>
      <c r="B30" s="6" t="s">
        <v>238</v>
      </c>
      <c r="C30" s="6" t="s">
        <v>46</v>
      </c>
      <c r="D30" s="6" t="s">
        <v>66</v>
      </c>
      <c r="E30" s="6" t="s">
        <v>239</v>
      </c>
      <c r="F30" s="6" t="s">
        <v>40</v>
      </c>
      <c r="G30" s="6" t="s">
        <v>235</v>
      </c>
      <c r="H30" s="6" t="s">
        <v>240</v>
      </c>
      <c r="I30" s="6" t="s">
        <v>32</v>
      </c>
      <c r="J30" s="23" t="s">
        <v>236</v>
      </c>
      <c r="K30" s="6" t="s">
        <v>24</v>
      </c>
      <c r="L30" s="6" t="s">
        <v>43</v>
      </c>
      <c r="M30" s="6" t="s">
        <v>26</v>
      </c>
      <c r="N30" s="6"/>
      <c r="O30" s="6" t="s">
        <v>203</v>
      </c>
      <c r="P30" s="6"/>
      <c r="Q30" s="6"/>
      <c r="R30" s="6" t="s">
        <v>241</v>
      </c>
      <c r="S30" s="7"/>
      <c r="T30" s="6">
        <v>2026</v>
      </c>
      <c r="U30" s="16" t="s">
        <v>37</v>
      </c>
      <c r="V30" t="s">
        <v>177</v>
      </c>
    </row>
    <row r="31" spans="1:23" ht="21.75" customHeight="1">
      <c r="A31" s="5" t="str">
        <f t="shared" si="1"/>
        <v>MFL-2026-026</v>
      </c>
      <c r="B31" s="6" t="s">
        <v>242</v>
      </c>
      <c r="C31" s="6" t="s">
        <v>46</v>
      </c>
      <c r="D31" s="6" t="s">
        <v>21</v>
      </c>
      <c r="E31" s="6" t="s">
        <v>243</v>
      </c>
      <c r="F31" s="6" t="s">
        <v>31</v>
      </c>
      <c r="G31" s="6" t="s">
        <v>128</v>
      </c>
      <c r="H31" s="6"/>
      <c r="I31" s="6" t="s">
        <v>32</v>
      </c>
      <c r="J31" s="22" t="s">
        <v>236</v>
      </c>
      <c r="K31" s="6" t="s">
        <v>24</v>
      </c>
      <c r="L31" s="6" t="s">
        <v>43</v>
      </c>
      <c r="M31" s="6" t="s">
        <v>44</v>
      </c>
      <c r="N31" s="6"/>
      <c r="O31" s="6" t="s">
        <v>203</v>
      </c>
      <c r="P31" s="6"/>
      <c r="Q31" s="6"/>
      <c r="R31" s="6" t="s">
        <v>244</v>
      </c>
      <c r="S31" s="7"/>
      <c r="T31" s="6"/>
      <c r="U31" s="16" t="s">
        <v>61</v>
      </c>
      <c r="V31" s="23" t="s">
        <v>208</v>
      </c>
    </row>
    <row r="32" spans="1:23" ht="21.75" customHeight="1">
      <c r="A32" s="5" t="str">
        <f t="shared" si="1"/>
        <v>MFL-2026-027</v>
      </c>
      <c r="B32" s="6" t="s">
        <v>245</v>
      </c>
      <c r="C32" s="6" t="s">
        <v>46</v>
      </c>
      <c r="D32" s="6" t="s">
        <v>30</v>
      </c>
      <c r="E32" s="6" t="s">
        <v>239</v>
      </c>
      <c r="F32" s="6" t="s">
        <v>22</v>
      </c>
      <c r="G32" s="6" t="s">
        <v>200</v>
      </c>
      <c r="H32" s="6">
        <v>2026</v>
      </c>
      <c r="I32" s="6" t="s">
        <v>32</v>
      </c>
      <c r="J32" s="22" t="s">
        <v>236</v>
      </c>
      <c r="K32" s="6" t="s">
        <v>24</v>
      </c>
      <c r="L32" s="6" t="s">
        <v>43</v>
      </c>
      <c r="M32" s="6" t="s">
        <v>44</v>
      </c>
      <c r="N32" s="6"/>
      <c r="O32" s="6" t="s">
        <v>203</v>
      </c>
      <c r="P32" s="6"/>
      <c r="Q32" s="6"/>
      <c r="R32" s="6" t="s">
        <v>246</v>
      </c>
      <c r="S32" s="7"/>
      <c r="T32" s="6">
        <v>2026</v>
      </c>
      <c r="U32" s="16" t="s">
        <v>57</v>
      </c>
      <c r="V32" t="s">
        <v>177</v>
      </c>
    </row>
    <row r="33" spans="1:22" ht="21.75" customHeight="1">
      <c r="A33" s="5" t="str">
        <f t="shared" si="1"/>
        <v>MFL-2026-028</v>
      </c>
      <c r="B33" s="6" t="s">
        <v>247</v>
      </c>
      <c r="C33" s="6" t="s">
        <v>46</v>
      </c>
      <c r="D33" s="6" t="s">
        <v>30</v>
      </c>
      <c r="E33" s="6" t="s">
        <v>239</v>
      </c>
      <c r="F33" s="6" t="s">
        <v>40</v>
      </c>
      <c r="G33" s="6" t="s">
        <v>200</v>
      </c>
      <c r="H33" s="6">
        <v>2026</v>
      </c>
      <c r="I33" s="6" t="s">
        <v>32</v>
      </c>
      <c r="J33" s="22" t="s">
        <v>236</v>
      </c>
      <c r="K33" s="6" t="s">
        <v>24</v>
      </c>
      <c r="L33" s="6" t="s">
        <v>43</v>
      </c>
      <c r="M33" s="6" t="s">
        <v>44</v>
      </c>
      <c r="N33" s="6"/>
      <c r="O33" s="6" t="s">
        <v>203</v>
      </c>
      <c r="P33" s="6"/>
      <c r="Q33" s="6"/>
      <c r="R33" s="6" t="s">
        <v>248</v>
      </c>
      <c r="S33" s="7"/>
      <c r="T33" s="6">
        <v>2026</v>
      </c>
      <c r="U33" s="16" t="s">
        <v>57</v>
      </c>
      <c r="V33" t="s">
        <v>177</v>
      </c>
    </row>
    <row r="34" spans="1:22" ht="21.75" customHeight="1">
      <c r="A34" s="5" t="str">
        <f t="shared" ref="A34:A67" si="2">IF(B34&lt;&gt;"","MFL-2026-"&amp;TEXT(ROW()-5,"000"),"")</f>
        <v>MFL-2026-029</v>
      </c>
      <c r="B34" s="6" t="s">
        <v>249</v>
      </c>
      <c r="C34" s="6" t="s">
        <v>46</v>
      </c>
      <c r="D34" s="6" t="s">
        <v>66</v>
      </c>
      <c r="E34" s="6" t="s">
        <v>250</v>
      </c>
      <c r="F34" s="6" t="s">
        <v>48</v>
      </c>
      <c r="G34" s="6"/>
      <c r="H34" s="6">
        <v>2026</v>
      </c>
      <c r="I34" s="6" t="s">
        <v>70</v>
      </c>
      <c r="J34" s="22" t="s">
        <v>236</v>
      </c>
      <c r="K34" s="6" t="s">
        <v>24</v>
      </c>
      <c r="L34" s="6" t="s">
        <v>43</v>
      </c>
      <c r="M34" s="6" t="s">
        <v>35</v>
      </c>
      <c r="N34" s="6"/>
      <c r="O34" s="6" t="s">
        <v>203</v>
      </c>
      <c r="P34" s="6"/>
      <c r="Q34" s="6"/>
      <c r="R34" s="6" t="s">
        <v>251</v>
      </c>
      <c r="S34" s="7"/>
      <c r="T34" s="6">
        <v>2026</v>
      </c>
      <c r="U34" s="16" t="s">
        <v>61</v>
      </c>
      <c r="V34" t="s">
        <v>177</v>
      </c>
    </row>
    <row r="35" spans="1:22" ht="21.75" customHeight="1">
      <c r="A35" s="5" t="str">
        <f t="shared" si="2"/>
        <v>MFL-2026-030</v>
      </c>
      <c r="B35" s="6" t="s">
        <v>252</v>
      </c>
      <c r="C35" s="6" t="s">
        <v>68</v>
      </c>
      <c r="D35" s="6" t="s">
        <v>21</v>
      </c>
      <c r="E35" s="6" t="s">
        <v>253</v>
      </c>
      <c r="F35" s="6" t="s">
        <v>31</v>
      </c>
      <c r="G35" s="6" t="s">
        <v>254</v>
      </c>
      <c r="H35" s="6" t="s">
        <v>255</v>
      </c>
      <c r="I35" s="6" t="s">
        <v>49</v>
      </c>
      <c r="J35" s="6" t="s">
        <v>256</v>
      </c>
      <c r="K35" s="6" t="s">
        <v>24</v>
      </c>
      <c r="L35" s="6" t="s">
        <v>43</v>
      </c>
      <c r="M35" s="6" t="s">
        <v>44</v>
      </c>
      <c r="N35" s="6"/>
      <c r="O35" s="6" t="s">
        <v>203</v>
      </c>
      <c r="P35" s="6"/>
      <c r="Q35" s="6"/>
      <c r="R35" s="6" t="s">
        <v>257</v>
      </c>
      <c r="S35" s="7"/>
      <c r="T35" s="6"/>
      <c r="U35" s="16"/>
      <c r="V35" s="23" t="s">
        <v>258</v>
      </c>
    </row>
    <row r="36" spans="1:22" ht="21.75" customHeight="1">
      <c r="A36" s="5" t="str">
        <f t="shared" si="2"/>
        <v>MFL-2026-031</v>
      </c>
      <c r="B36" s="6" t="s">
        <v>259</v>
      </c>
      <c r="C36" s="6" t="s">
        <v>68</v>
      </c>
      <c r="D36" s="6" t="s">
        <v>21</v>
      </c>
      <c r="E36" s="25" t="s">
        <v>253</v>
      </c>
      <c r="F36" s="6" t="s">
        <v>31</v>
      </c>
      <c r="G36" s="6" t="s">
        <v>260</v>
      </c>
      <c r="H36" s="6" t="s">
        <v>255</v>
      </c>
      <c r="I36" s="6" t="s">
        <v>49</v>
      </c>
      <c r="J36" s="6" t="s">
        <v>256</v>
      </c>
      <c r="K36" s="6" t="s">
        <v>24</v>
      </c>
      <c r="L36" s="6" t="s">
        <v>43</v>
      </c>
      <c r="M36" s="6" t="s">
        <v>44</v>
      </c>
      <c r="N36" s="6"/>
      <c r="O36" s="6" t="s">
        <v>203</v>
      </c>
      <c r="P36" s="6"/>
      <c r="Q36" s="6"/>
      <c r="R36" s="6" t="s">
        <v>257</v>
      </c>
      <c r="S36" s="7"/>
      <c r="T36" s="6"/>
      <c r="U36" s="16"/>
      <c r="V36" s="23" t="s">
        <v>258</v>
      </c>
    </row>
    <row r="37" spans="1:22" ht="21.75" customHeight="1">
      <c r="A37" s="5" t="str">
        <f t="shared" si="2"/>
        <v>MFL-2026-032</v>
      </c>
      <c r="B37" s="6" t="s">
        <v>261</v>
      </c>
      <c r="C37" s="6" t="s">
        <v>68</v>
      </c>
      <c r="D37" s="6" t="s">
        <v>21</v>
      </c>
      <c r="E37" s="25" t="s">
        <v>253</v>
      </c>
      <c r="F37" s="6" t="s">
        <v>31</v>
      </c>
      <c r="G37" s="6" t="s">
        <v>262</v>
      </c>
      <c r="H37" s="6" t="s">
        <v>255</v>
      </c>
      <c r="I37" s="6" t="s">
        <v>49</v>
      </c>
      <c r="J37" s="6" t="s">
        <v>256</v>
      </c>
      <c r="K37" s="6" t="s">
        <v>24</v>
      </c>
      <c r="L37" s="6" t="s">
        <v>43</v>
      </c>
      <c r="M37" s="6" t="s">
        <v>44</v>
      </c>
      <c r="N37" s="6"/>
      <c r="O37" s="6" t="s">
        <v>203</v>
      </c>
      <c r="P37" s="6"/>
      <c r="Q37" s="6"/>
      <c r="R37" s="6" t="s">
        <v>257</v>
      </c>
      <c r="S37" s="7"/>
      <c r="T37" s="6"/>
      <c r="U37" s="16"/>
      <c r="V37" s="23" t="s">
        <v>258</v>
      </c>
    </row>
    <row r="38" spans="1:22" ht="21.75" customHeight="1">
      <c r="A38" s="5" t="str">
        <f t="shared" si="2"/>
        <v>MFL-2026-033</v>
      </c>
      <c r="B38" s="6" t="s">
        <v>263</v>
      </c>
      <c r="C38" s="6" t="s">
        <v>68</v>
      </c>
      <c r="D38" s="6" t="s">
        <v>30</v>
      </c>
      <c r="E38" s="6" t="s">
        <v>253</v>
      </c>
      <c r="F38" s="6" t="s">
        <v>31</v>
      </c>
      <c r="G38" s="6" t="s">
        <v>264</v>
      </c>
      <c r="H38" s="6">
        <v>2021</v>
      </c>
      <c r="I38" s="6" t="s">
        <v>49</v>
      </c>
      <c r="J38" s="6" t="s">
        <v>265</v>
      </c>
      <c r="K38" s="6" t="s">
        <v>24</v>
      </c>
      <c r="L38" s="6" t="s">
        <v>43</v>
      </c>
      <c r="M38" s="6" t="s">
        <v>44</v>
      </c>
      <c r="N38" s="6"/>
      <c r="O38" s="6" t="s">
        <v>203</v>
      </c>
      <c r="P38" s="6"/>
      <c r="Q38" s="6"/>
      <c r="R38" s="6" t="s">
        <v>246</v>
      </c>
      <c r="S38" s="7"/>
      <c r="T38" s="6">
        <v>2021</v>
      </c>
      <c r="U38" s="16"/>
      <c r="V38" t="s">
        <v>177</v>
      </c>
    </row>
    <row r="39" spans="1:22" ht="21.75" customHeight="1">
      <c r="A39" s="5" t="str">
        <f t="shared" si="2"/>
        <v>MFL-2026-034</v>
      </c>
      <c r="B39" s="6" t="s">
        <v>266</v>
      </c>
      <c r="C39" s="6" t="s">
        <v>68</v>
      </c>
      <c r="D39" s="6" t="s">
        <v>47</v>
      </c>
      <c r="E39" s="6" t="s">
        <v>253</v>
      </c>
      <c r="F39" s="6" t="s">
        <v>31</v>
      </c>
      <c r="G39" s="6"/>
      <c r="H39" s="6">
        <v>2021</v>
      </c>
      <c r="I39" s="6" t="s">
        <v>49</v>
      </c>
      <c r="J39" s="6" t="s">
        <v>265</v>
      </c>
      <c r="K39" s="6" t="s">
        <v>24</v>
      </c>
      <c r="L39" s="6" t="s">
        <v>43</v>
      </c>
      <c r="M39" s="6" t="s">
        <v>44</v>
      </c>
      <c r="N39" s="6"/>
      <c r="O39" s="6" t="s">
        <v>203</v>
      </c>
      <c r="P39" s="6"/>
      <c r="Q39" s="6"/>
      <c r="R39" s="6" t="s">
        <v>267</v>
      </c>
      <c r="S39" s="7"/>
      <c r="T39" s="6">
        <v>2021</v>
      </c>
      <c r="U39" s="16"/>
      <c r="V39" t="s">
        <v>177</v>
      </c>
    </row>
    <row r="40" spans="1:22" ht="21.75" customHeight="1">
      <c r="A40" s="5" t="str">
        <f t="shared" si="2"/>
        <v>MFL-2026-035</v>
      </c>
      <c r="B40" s="6" t="s">
        <v>268</v>
      </c>
      <c r="C40" s="6" t="s">
        <v>68</v>
      </c>
      <c r="D40" s="6" t="s">
        <v>81</v>
      </c>
      <c r="E40" s="6" t="s">
        <v>253</v>
      </c>
      <c r="F40" s="6" t="s">
        <v>40</v>
      </c>
      <c r="G40" s="6"/>
      <c r="H40" s="6">
        <v>2024</v>
      </c>
      <c r="I40" s="6" t="s">
        <v>49</v>
      </c>
      <c r="J40" s="6" t="s">
        <v>265</v>
      </c>
      <c r="K40" s="6"/>
      <c r="L40" s="6"/>
      <c r="M40" s="6"/>
      <c r="N40" s="6"/>
      <c r="O40" s="6" t="s">
        <v>203</v>
      </c>
      <c r="P40" s="6"/>
      <c r="Q40" s="6"/>
      <c r="R40" s="6" t="s">
        <v>269</v>
      </c>
      <c r="S40" s="7"/>
      <c r="T40" s="6"/>
      <c r="U40" t="s">
        <v>61</v>
      </c>
      <c r="V40" t="s">
        <v>177</v>
      </c>
    </row>
    <row r="41" spans="1:22" ht="21.75" customHeight="1">
      <c r="A41" s="5" t="str">
        <f t="shared" si="2"/>
        <v>MFL-2026-036</v>
      </c>
      <c r="B41" s="6" t="s">
        <v>270</v>
      </c>
      <c r="C41" s="6" t="s">
        <v>29</v>
      </c>
      <c r="D41" s="6" t="s">
        <v>81</v>
      </c>
      <c r="E41" s="6" t="s">
        <v>271</v>
      </c>
      <c r="F41" s="6" t="s">
        <v>31</v>
      </c>
      <c r="G41" s="6"/>
      <c r="H41" s="6">
        <v>2018</v>
      </c>
      <c r="I41" s="6" t="s">
        <v>83</v>
      </c>
      <c r="J41" s="6" t="s">
        <v>272</v>
      </c>
      <c r="K41" s="6" t="s">
        <v>24</v>
      </c>
      <c r="L41" s="6" t="s">
        <v>50</v>
      </c>
      <c r="M41" s="6" t="s">
        <v>26</v>
      </c>
      <c r="N41" s="6"/>
      <c r="O41" s="6" t="s">
        <v>203</v>
      </c>
      <c r="P41" s="6"/>
      <c r="Q41" s="6"/>
      <c r="R41" s="6" t="s">
        <v>273</v>
      </c>
      <c r="S41" s="7"/>
      <c r="T41" s="6"/>
      <c r="V41" t="s">
        <v>177</v>
      </c>
    </row>
    <row r="42" spans="1:22" ht="21.75" customHeight="1">
      <c r="A42" s="5" t="str">
        <f t="shared" si="2"/>
        <v>MFL-2026-037</v>
      </c>
      <c r="B42" s="6" t="s">
        <v>274</v>
      </c>
      <c r="C42" s="6" t="s">
        <v>29</v>
      </c>
      <c r="D42" s="6" t="s">
        <v>30</v>
      </c>
      <c r="E42" s="6" t="s">
        <v>271</v>
      </c>
      <c r="F42" s="6" t="s">
        <v>22</v>
      </c>
      <c r="G42" s="6" t="s">
        <v>275</v>
      </c>
      <c r="H42" s="6">
        <v>2021</v>
      </c>
      <c r="I42" s="6"/>
      <c r="J42" s="6" t="s">
        <v>272</v>
      </c>
      <c r="K42" s="6" t="s">
        <v>42</v>
      </c>
      <c r="L42" s="6" t="s">
        <v>50</v>
      </c>
      <c r="M42" s="6" t="s">
        <v>44</v>
      </c>
      <c r="N42" s="6"/>
      <c r="O42" s="6" t="s">
        <v>203</v>
      </c>
      <c r="P42" s="6"/>
      <c r="Q42" s="6"/>
      <c r="R42" s="6" t="s">
        <v>246</v>
      </c>
      <c r="S42" s="7"/>
      <c r="T42" s="6"/>
      <c r="U42" t="s">
        <v>61</v>
      </c>
      <c r="V42" t="s">
        <v>177</v>
      </c>
    </row>
    <row r="43" spans="1:22" ht="21.75" customHeight="1">
      <c r="A43" s="5" t="str">
        <f t="shared" si="2"/>
        <v>MFL-2026-038</v>
      </c>
      <c r="B43" s="6" t="s">
        <v>276</v>
      </c>
      <c r="C43" s="6" t="s">
        <v>29</v>
      </c>
      <c r="D43" s="6" t="s">
        <v>47</v>
      </c>
      <c r="E43" s="6" t="s">
        <v>271</v>
      </c>
      <c r="F43" s="6" t="s">
        <v>22</v>
      </c>
      <c r="G43" s="6" t="s">
        <v>179</v>
      </c>
      <c r="H43" s="6">
        <v>2024</v>
      </c>
      <c r="I43" s="6" t="s">
        <v>23</v>
      </c>
      <c r="J43" s="6" t="s">
        <v>272</v>
      </c>
      <c r="K43" s="6" t="s">
        <v>24</v>
      </c>
      <c r="L43" s="6" t="s">
        <v>50</v>
      </c>
      <c r="M43" s="6" t="s">
        <v>44</v>
      </c>
      <c r="N43" s="6"/>
      <c r="O43" s="6" t="s">
        <v>203</v>
      </c>
      <c r="P43" s="6"/>
      <c r="Q43" s="6"/>
      <c r="R43" s="6" t="s">
        <v>277</v>
      </c>
      <c r="S43" s="7"/>
      <c r="T43" s="6"/>
      <c r="U43" t="s">
        <v>61</v>
      </c>
      <c r="V43" t="s">
        <v>177</v>
      </c>
    </row>
    <row r="44" spans="1:22" ht="21.75" customHeight="1">
      <c r="A44" s="5" t="str">
        <f t="shared" si="2"/>
        <v>MFL-2026-039</v>
      </c>
      <c r="B44" s="6" t="s">
        <v>160</v>
      </c>
      <c r="C44" s="6" t="s">
        <v>29</v>
      </c>
      <c r="D44" s="6" t="s">
        <v>78</v>
      </c>
      <c r="E44" s="6" t="s">
        <v>271</v>
      </c>
      <c r="F44" s="6" t="s">
        <v>40</v>
      </c>
      <c r="G44" s="6"/>
      <c r="H44" s="6" t="s">
        <v>278</v>
      </c>
      <c r="I44" s="6" t="s">
        <v>84</v>
      </c>
      <c r="J44" s="6" t="s">
        <v>272</v>
      </c>
      <c r="K44" s="6" t="s">
        <v>24</v>
      </c>
      <c r="L44" s="6" t="s">
        <v>25</v>
      </c>
      <c r="M44" s="6" t="s">
        <v>44</v>
      </c>
      <c r="N44" s="6"/>
      <c r="O44" s="6" t="s">
        <v>203</v>
      </c>
      <c r="P44" s="6"/>
      <c r="Q44" s="6"/>
      <c r="R44" s="6" t="s">
        <v>161</v>
      </c>
      <c r="S44" s="7"/>
      <c r="T44" s="6"/>
      <c r="U44" t="s">
        <v>28</v>
      </c>
      <c r="V44" t="s">
        <v>177</v>
      </c>
    </row>
    <row r="45" spans="1:22" ht="21.75" customHeight="1">
      <c r="A45" s="5" t="str">
        <f t="shared" si="2"/>
        <v>MFL-2026-040</v>
      </c>
      <c r="B45" s="6" t="s">
        <v>279</v>
      </c>
      <c r="C45" s="6" t="s">
        <v>29</v>
      </c>
      <c r="D45" s="6"/>
      <c r="E45" s="6" t="s">
        <v>271</v>
      </c>
      <c r="F45" s="6" t="s">
        <v>31</v>
      </c>
      <c r="G45" s="6"/>
      <c r="H45" s="6">
        <v>2005</v>
      </c>
      <c r="I45" s="6" t="s">
        <v>84</v>
      </c>
      <c r="J45" s="6" t="s">
        <v>272</v>
      </c>
      <c r="K45" s="6" t="s">
        <v>24</v>
      </c>
      <c r="L45" s="6" t="s">
        <v>25</v>
      </c>
      <c r="M45" s="6" t="s">
        <v>44</v>
      </c>
      <c r="N45" s="6"/>
      <c r="O45" s="6" t="s">
        <v>203</v>
      </c>
      <c r="P45" s="6"/>
      <c r="Q45" s="6"/>
      <c r="R45" s="6" t="s">
        <v>280</v>
      </c>
      <c r="S45" s="6" t="s">
        <v>203</v>
      </c>
      <c r="T45" s="6"/>
      <c r="V45" t="s">
        <v>177</v>
      </c>
    </row>
    <row r="46" spans="1:22" ht="21.75" customHeight="1">
      <c r="A46" s="5" t="str">
        <f t="shared" si="2"/>
        <v>MFL-2026-041</v>
      </c>
      <c r="B46" s="6" t="s">
        <v>281</v>
      </c>
      <c r="C46" s="6" t="s">
        <v>29</v>
      </c>
      <c r="D46" s="6" t="s">
        <v>59</v>
      </c>
      <c r="E46" s="6" t="s">
        <v>271</v>
      </c>
      <c r="F46" s="6" t="s">
        <v>40</v>
      </c>
      <c r="G46" s="6"/>
      <c r="H46" s="6" t="s">
        <v>282</v>
      </c>
      <c r="I46" s="6" t="s">
        <v>23</v>
      </c>
      <c r="J46" s="6" t="s">
        <v>272</v>
      </c>
      <c r="K46" s="6" t="s">
        <v>24</v>
      </c>
      <c r="L46" s="6" t="s">
        <v>25</v>
      </c>
      <c r="M46" s="6" t="s">
        <v>44</v>
      </c>
      <c r="N46" s="6"/>
      <c r="O46" s="6" t="s">
        <v>203</v>
      </c>
      <c r="P46" s="6"/>
      <c r="Q46" s="6"/>
      <c r="R46" s="6" t="s">
        <v>280</v>
      </c>
      <c r="S46" s="6" t="s">
        <v>203</v>
      </c>
      <c r="T46" s="6"/>
      <c r="U46" t="s">
        <v>61</v>
      </c>
      <c r="V46" t="s">
        <v>177</v>
      </c>
    </row>
    <row r="47" spans="1:22" ht="21.75" customHeight="1">
      <c r="A47" s="5" t="str">
        <f t="shared" si="2"/>
        <v>MFL-2026-042</v>
      </c>
      <c r="B47" s="6" t="s">
        <v>283</v>
      </c>
      <c r="C47" s="6" t="s">
        <v>29</v>
      </c>
      <c r="D47" s="6" t="s">
        <v>47</v>
      </c>
      <c r="E47" s="6" t="s">
        <v>271</v>
      </c>
      <c r="F47" s="6" t="s">
        <v>22</v>
      </c>
      <c r="G47" s="6"/>
      <c r="H47" s="6" t="s">
        <v>255</v>
      </c>
      <c r="I47" s="6" t="s">
        <v>84</v>
      </c>
      <c r="J47" s="6" t="s">
        <v>272</v>
      </c>
      <c r="K47" s="6" t="s">
        <v>24</v>
      </c>
      <c r="L47" s="6" t="s">
        <v>25</v>
      </c>
      <c r="M47" s="6" t="s">
        <v>44</v>
      </c>
      <c r="N47" s="6"/>
      <c r="O47" s="6" t="s">
        <v>203</v>
      </c>
      <c r="P47" s="6"/>
      <c r="Q47" s="6"/>
      <c r="R47" s="6" t="s">
        <v>284</v>
      </c>
      <c r="S47" s="7"/>
      <c r="T47" s="6"/>
      <c r="U47" t="s">
        <v>57</v>
      </c>
      <c r="V47" t="s">
        <v>177</v>
      </c>
    </row>
    <row r="48" spans="1:22" ht="21.75" customHeight="1">
      <c r="A48" s="5" t="s">
        <v>285</v>
      </c>
      <c r="B48" s="6" t="s">
        <v>286</v>
      </c>
      <c r="C48" s="6" t="s">
        <v>20</v>
      </c>
      <c r="D48" s="6" t="s">
        <v>53</v>
      </c>
      <c r="E48" s="6"/>
      <c r="F48" s="6"/>
      <c r="G48" s="6"/>
      <c r="H48" s="6"/>
      <c r="I48" s="6"/>
      <c r="J48" s="6"/>
      <c r="K48" s="6"/>
      <c r="L48" s="6"/>
      <c r="M48" s="6"/>
      <c r="N48" s="6"/>
      <c r="O48" s="6"/>
      <c r="P48" s="6"/>
      <c r="Q48" s="6"/>
      <c r="R48" s="6"/>
      <c r="S48" s="7"/>
      <c r="T48" s="6"/>
    </row>
    <row r="49" spans="1:22" ht="27" customHeight="1">
      <c r="A49" s="5" t="str">
        <f t="shared" si="2"/>
        <v>MFL-2026-044</v>
      </c>
      <c r="B49" s="6" t="s">
        <v>287</v>
      </c>
      <c r="C49" s="6" t="s">
        <v>58</v>
      </c>
      <c r="D49" s="6" t="s">
        <v>21</v>
      </c>
      <c r="E49" s="6" t="s">
        <v>288</v>
      </c>
      <c r="F49" s="6" t="s">
        <v>31</v>
      </c>
      <c r="G49" s="6" t="s">
        <v>289</v>
      </c>
      <c r="H49" s="6" t="s">
        <v>255</v>
      </c>
      <c r="I49" s="6" t="s">
        <v>84</v>
      </c>
      <c r="J49" s="6" t="s">
        <v>290</v>
      </c>
      <c r="K49" s="6" t="s">
        <v>24</v>
      </c>
      <c r="L49" s="6" t="s">
        <v>25</v>
      </c>
      <c r="M49" s="6" t="s">
        <v>44</v>
      </c>
      <c r="N49" s="6"/>
      <c r="O49" s="6" t="s">
        <v>203</v>
      </c>
      <c r="P49" s="6"/>
      <c r="Q49" s="6"/>
      <c r="R49" s="6" t="s">
        <v>291</v>
      </c>
      <c r="S49" s="7"/>
      <c r="T49" s="6"/>
      <c r="U49" t="s">
        <v>61</v>
      </c>
      <c r="V49" t="s">
        <v>292</v>
      </c>
    </row>
    <row r="50" spans="1:22" ht="39.75" customHeight="1">
      <c r="A50" s="5" t="str">
        <f t="shared" si="2"/>
        <v>MFL-2026-045</v>
      </c>
      <c r="B50" s="6" t="s">
        <v>279</v>
      </c>
      <c r="C50" s="6" t="s">
        <v>58</v>
      </c>
      <c r="D50" s="6"/>
      <c r="E50" s="6" t="s">
        <v>288</v>
      </c>
      <c r="F50" s="6" t="s">
        <v>22</v>
      </c>
      <c r="G50" s="6"/>
      <c r="H50" s="6">
        <v>2017</v>
      </c>
      <c r="I50" s="6" t="s">
        <v>60</v>
      </c>
      <c r="J50" s="6" t="s">
        <v>293</v>
      </c>
      <c r="K50" s="6" t="s">
        <v>24</v>
      </c>
      <c r="L50" s="6" t="s">
        <v>56</v>
      </c>
      <c r="M50" s="6" t="s">
        <v>44</v>
      </c>
      <c r="N50" s="6"/>
      <c r="O50" s="6" t="s">
        <v>203</v>
      </c>
      <c r="P50" s="6"/>
      <c r="Q50" s="6"/>
      <c r="R50" s="6" t="s">
        <v>279</v>
      </c>
      <c r="S50" s="7"/>
      <c r="T50" s="6">
        <v>2017</v>
      </c>
      <c r="U50" t="s">
        <v>57</v>
      </c>
      <c r="V50" s="6" t="s">
        <v>294</v>
      </c>
    </row>
    <row r="51" spans="1:22" ht="21.75" customHeight="1">
      <c r="A51" s="5" t="str">
        <f t="shared" si="2"/>
        <v>MFL-2026-046</v>
      </c>
      <c r="B51" s="6" t="s">
        <v>295</v>
      </c>
      <c r="C51" s="6" t="s">
        <v>58</v>
      </c>
      <c r="D51" s="6" t="s">
        <v>53</v>
      </c>
      <c r="E51" s="6" t="s">
        <v>288</v>
      </c>
      <c r="F51" s="6" t="s">
        <v>40</v>
      </c>
      <c r="G51" s="6" t="s">
        <v>296</v>
      </c>
      <c r="H51" s="6" t="s">
        <v>297</v>
      </c>
      <c r="I51" s="6" t="s">
        <v>76</v>
      </c>
      <c r="J51" s="6" t="s">
        <v>290</v>
      </c>
      <c r="K51" s="6" t="s">
        <v>24</v>
      </c>
      <c r="L51" s="6" t="s">
        <v>56</v>
      </c>
      <c r="M51" s="6" t="s">
        <v>44</v>
      </c>
      <c r="N51" s="6"/>
      <c r="O51" s="6" t="s">
        <v>298</v>
      </c>
      <c r="P51" s="6"/>
      <c r="Q51" s="6"/>
      <c r="R51" s="6" t="s">
        <v>299</v>
      </c>
      <c r="S51" s="7"/>
      <c r="T51" s="6">
        <v>2026</v>
      </c>
      <c r="U51" t="s">
        <v>45</v>
      </c>
      <c r="V51" s="6" t="s">
        <v>300</v>
      </c>
    </row>
    <row r="52" spans="1:22" ht="21.75" customHeight="1">
      <c r="A52" s="5"/>
      <c r="B52" s="6" t="s">
        <v>295</v>
      </c>
      <c r="C52" s="6" t="s">
        <v>58</v>
      </c>
      <c r="D52" s="6" t="s">
        <v>53</v>
      </c>
      <c r="E52" s="6" t="s">
        <v>288</v>
      </c>
      <c r="F52" s="6" t="s">
        <v>40</v>
      </c>
      <c r="G52" s="6" t="s">
        <v>301</v>
      </c>
      <c r="H52" s="6" t="s">
        <v>302</v>
      </c>
      <c r="I52" s="6" t="s">
        <v>76</v>
      </c>
      <c r="J52" s="6" t="s">
        <v>290</v>
      </c>
      <c r="K52" s="6" t="s">
        <v>24</v>
      </c>
      <c r="L52" s="6" t="s">
        <v>25</v>
      </c>
      <c r="M52" s="6" t="s">
        <v>44</v>
      </c>
      <c r="N52" s="6"/>
      <c r="O52" s="6" t="s">
        <v>298</v>
      </c>
      <c r="P52" s="6"/>
      <c r="Q52" s="6"/>
      <c r="R52" s="6" t="s">
        <v>303</v>
      </c>
      <c r="S52" s="7"/>
      <c r="T52" s="6">
        <v>2026</v>
      </c>
      <c r="U52" t="s">
        <v>37</v>
      </c>
      <c r="V52" s="6" t="s">
        <v>304</v>
      </c>
    </row>
    <row r="53" spans="1:22" ht="21.75" customHeight="1">
      <c r="A53" s="5" t="str">
        <f t="shared" si="2"/>
        <v>MFL-2026-048</v>
      </c>
      <c r="B53" s="6" t="s">
        <v>305</v>
      </c>
      <c r="C53" s="6" t="s">
        <v>305</v>
      </c>
      <c r="D53" s="6" t="s">
        <v>305</v>
      </c>
      <c r="E53" s="6" t="s">
        <v>305</v>
      </c>
      <c r="F53" s="6" t="s">
        <v>305</v>
      </c>
      <c r="G53" s="6" t="s">
        <v>306</v>
      </c>
      <c r="H53" s="6">
        <v>2015</v>
      </c>
      <c r="I53" s="6" t="s">
        <v>76</v>
      </c>
      <c r="J53" s="6" t="s">
        <v>290</v>
      </c>
      <c r="K53" s="6" t="s">
        <v>24</v>
      </c>
      <c r="L53" s="6" t="s">
        <v>25</v>
      </c>
      <c r="M53" s="6" t="s">
        <v>44</v>
      </c>
      <c r="N53" s="6"/>
      <c r="O53" s="6" t="s">
        <v>298</v>
      </c>
      <c r="P53" s="6"/>
      <c r="Q53" s="6"/>
      <c r="R53" s="6" t="s">
        <v>307</v>
      </c>
      <c r="S53" s="7"/>
      <c r="T53" s="6">
        <v>2015</v>
      </c>
      <c r="U53" t="s">
        <v>57</v>
      </c>
      <c r="V53" s="6" t="s">
        <v>308</v>
      </c>
    </row>
    <row r="54" spans="1:22" ht="21.75" customHeight="1">
      <c r="A54" s="5"/>
      <c r="B54" s="6" t="s">
        <v>305</v>
      </c>
      <c r="C54" s="6" t="s">
        <v>305</v>
      </c>
      <c r="D54" s="6" t="s">
        <v>305</v>
      </c>
      <c r="E54" s="6" t="s">
        <v>305</v>
      </c>
      <c r="F54" s="6" t="s">
        <v>305</v>
      </c>
      <c r="G54" s="6" t="s">
        <v>179</v>
      </c>
      <c r="H54" s="6" t="s">
        <v>255</v>
      </c>
      <c r="I54" s="6" t="s">
        <v>76</v>
      </c>
      <c r="J54" s="6" t="s">
        <v>290</v>
      </c>
      <c r="K54" s="6" t="s">
        <v>24</v>
      </c>
      <c r="L54" s="6" t="s">
        <v>25</v>
      </c>
      <c r="M54" s="6" t="s">
        <v>44</v>
      </c>
      <c r="N54" s="6"/>
      <c r="O54" s="6" t="s">
        <v>298</v>
      </c>
      <c r="P54" s="6"/>
      <c r="Q54" s="6"/>
      <c r="R54" s="6" t="s">
        <v>309</v>
      </c>
      <c r="S54" s="7"/>
      <c r="T54" s="6">
        <v>2026</v>
      </c>
      <c r="U54" t="s">
        <v>61</v>
      </c>
      <c r="V54" s="29" t="s">
        <v>310</v>
      </c>
    </row>
    <row r="55" spans="1:22" ht="21.75" customHeight="1">
      <c r="A55" s="5" t="str">
        <f t="shared" si="2"/>
        <v>MFL-2026-050</v>
      </c>
      <c r="B55" s="6" t="s">
        <v>311</v>
      </c>
      <c r="C55" s="6" t="s">
        <v>74</v>
      </c>
      <c r="D55" s="6" t="s">
        <v>21</v>
      </c>
      <c r="E55" s="6" t="s">
        <v>312</v>
      </c>
      <c r="F55" s="6" t="s">
        <v>31</v>
      </c>
      <c r="G55" s="6" t="s">
        <v>313</v>
      </c>
      <c r="H55" s="6" t="s">
        <v>314</v>
      </c>
      <c r="I55" s="6" t="s">
        <v>70</v>
      </c>
      <c r="J55" s="22" t="s">
        <v>315</v>
      </c>
      <c r="K55" s="6" t="s">
        <v>33</v>
      </c>
      <c r="L55" s="6" t="s">
        <v>50</v>
      </c>
      <c r="M55" s="6" t="s">
        <v>44</v>
      </c>
      <c r="N55" s="6"/>
      <c r="O55" s="6" t="s">
        <v>298</v>
      </c>
      <c r="P55" s="6"/>
      <c r="Q55" s="6"/>
      <c r="R55" s="6" t="s">
        <v>316</v>
      </c>
      <c r="S55" s="6" t="s">
        <v>316</v>
      </c>
      <c r="T55" s="6" t="s">
        <v>255</v>
      </c>
      <c r="U55" t="s">
        <v>61</v>
      </c>
      <c r="V55" t="s">
        <v>317</v>
      </c>
    </row>
    <row r="56" spans="1:22" ht="21.75" customHeight="1">
      <c r="A56" s="5" t="str">
        <f t="shared" si="2"/>
        <v>MFL-2026-051</v>
      </c>
      <c r="B56" s="6" t="s">
        <v>318</v>
      </c>
      <c r="C56" s="6" t="s">
        <v>74</v>
      </c>
      <c r="D56" s="6" t="s">
        <v>53</v>
      </c>
      <c r="E56" s="6" t="s">
        <v>312</v>
      </c>
      <c r="F56" s="6" t="s">
        <v>31</v>
      </c>
      <c r="G56" s="6" t="s">
        <v>313</v>
      </c>
      <c r="H56" s="6" t="s">
        <v>314</v>
      </c>
      <c r="I56" s="6" t="s">
        <v>70</v>
      </c>
      <c r="J56" s="22" t="s">
        <v>315</v>
      </c>
      <c r="K56" s="6" t="s">
        <v>33</v>
      </c>
      <c r="L56" s="6" t="s">
        <v>50</v>
      </c>
      <c r="M56" s="6" t="s">
        <v>44</v>
      </c>
      <c r="N56" s="6"/>
      <c r="O56" s="6" t="s">
        <v>298</v>
      </c>
      <c r="P56" s="6"/>
      <c r="Q56" s="6"/>
      <c r="R56" s="6" t="s">
        <v>316</v>
      </c>
      <c r="S56" s="6" t="s">
        <v>316</v>
      </c>
      <c r="T56" s="6" t="s">
        <v>255</v>
      </c>
      <c r="U56" t="s">
        <v>61</v>
      </c>
      <c r="V56" t="s">
        <v>317</v>
      </c>
    </row>
    <row r="57" spans="1:22" ht="21.75" customHeight="1">
      <c r="A57" s="5" t="str">
        <f t="shared" si="2"/>
        <v>MFL-2026-052</v>
      </c>
      <c r="B57" s="6" t="s">
        <v>245</v>
      </c>
      <c r="C57" s="6" t="s">
        <v>74</v>
      </c>
      <c r="D57" s="6" t="s">
        <v>30</v>
      </c>
      <c r="E57" s="6" t="s">
        <v>312</v>
      </c>
      <c r="F57" s="6" t="s">
        <v>31</v>
      </c>
      <c r="G57" s="6" t="s">
        <v>313</v>
      </c>
      <c r="H57" s="6" t="s">
        <v>314</v>
      </c>
      <c r="I57" s="6" t="s">
        <v>70</v>
      </c>
      <c r="J57" s="22" t="s">
        <v>315</v>
      </c>
      <c r="K57" s="6" t="s">
        <v>33</v>
      </c>
      <c r="L57" s="6" t="s">
        <v>50</v>
      </c>
      <c r="M57" s="6" t="s">
        <v>44</v>
      </c>
      <c r="N57" s="6"/>
      <c r="O57" s="6" t="s">
        <v>298</v>
      </c>
      <c r="P57" s="6"/>
      <c r="Q57" s="6"/>
      <c r="R57" s="6" t="s">
        <v>316</v>
      </c>
      <c r="S57" s="7"/>
      <c r="T57" s="6">
        <v>2020</v>
      </c>
      <c r="U57" t="s">
        <v>61</v>
      </c>
      <c r="V57" t="s">
        <v>317</v>
      </c>
    </row>
    <row r="58" spans="1:22" ht="21.75" customHeight="1">
      <c r="A58" s="5" t="str">
        <f t="shared" si="2"/>
        <v>MFL-2026-053</v>
      </c>
      <c r="B58" s="6" t="s">
        <v>319</v>
      </c>
      <c r="C58" s="6" t="s">
        <v>74</v>
      </c>
      <c r="D58" s="6" t="s">
        <v>81</v>
      </c>
      <c r="E58" s="6" t="s">
        <v>320</v>
      </c>
      <c r="F58" s="6" t="s">
        <v>48</v>
      </c>
      <c r="G58" s="6" t="s">
        <v>321</v>
      </c>
      <c r="H58" s="6" t="s">
        <v>322</v>
      </c>
      <c r="I58" s="6" t="s">
        <v>70</v>
      </c>
      <c r="J58" s="22" t="s">
        <v>315</v>
      </c>
      <c r="K58" s="6" t="s">
        <v>33</v>
      </c>
      <c r="L58" s="6" t="s">
        <v>50</v>
      </c>
      <c r="M58" s="6" t="s">
        <v>44</v>
      </c>
      <c r="N58" s="6"/>
      <c r="O58" s="6" t="s">
        <v>298</v>
      </c>
      <c r="P58" s="6"/>
      <c r="Q58" s="6"/>
      <c r="R58" s="6" t="s">
        <v>323</v>
      </c>
      <c r="S58" s="7"/>
      <c r="T58" s="6" t="s">
        <v>255</v>
      </c>
      <c r="U58" t="s">
        <v>61</v>
      </c>
      <c r="V58" t="s">
        <v>324</v>
      </c>
    </row>
    <row r="59" spans="1:22" ht="21.75" customHeight="1">
      <c r="A59" s="5" t="str">
        <f t="shared" si="2"/>
        <v>MFL-2026-054</v>
      </c>
      <c r="B59" s="6" t="s">
        <v>325</v>
      </c>
      <c r="C59" s="6" t="s">
        <v>74</v>
      </c>
      <c r="D59" s="6" t="s">
        <v>30</v>
      </c>
      <c r="E59" s="6" t="s">
        <v>320</v>
      </c>
      <c r="F59" s="6" t="s">
        <v>31</v>
      </c>
      <c r="G59" s="6" t="s">
        <v>313</v>
      </c>
      <c r="H59" s="6" t="s">
        <v>314</v>
      </c>
      <c r="I59" s="6" t="s">
        <v>70</v>
      </c>
      <c r="J59" s="22" t="s">
        <v>315</v>
      </c>
      <c r="K59" s="6" t="s">
        <v>33</v>
      </c>
      <c r="L59" s="6" t="s">
        <v>50</v>
      </c>
      <c r="M59" s="6" t="s">
        <v>44</v>
      </c>
      <c r="N59" s="6"/>
      <c r="O59" s="6" t="s">
        <v>298</v>
      </c>
      <c r="P59" s="6"/>
      <c r="Q59" s="6"/>
      <c r="R59" s="6" t="s">
        <v>323</v>
      </c>
      <c r="S59" s="7"/>
      <c r="T59" s="6" t="s">
        <v>255</v>
      </c>
      <c r="U59" t="s">
        <v>61</v>
      </c>
      <c r="V59" t="s">
        <v>324</v>
      </c>
    </row>
    <row r="60" spans="1:22" ht="21.75" customHeight="1">
      <c r="A60" s="5" t="str">
        <f t="shared" si="2"/>
        <v>MFL-2026-055</v>
      </c>
      <c r="B60" s="6" t="s">
        <v>326</v>
      </c>
      <c r="C60" s="6" t="s">
        <v>65</v>
      </c>
      <c r="D60" s="6" t="s">
        <v>78</v>
      </c>
      <c r="E60" s="6" t="s">
        <v>320</v>
      </c>
      <c r="F60" s="6" t="s">
        <v>31</v>
      </c>
      <c r="G60" s="6" t="s">
        <v>327</v>
      </c>
      <c r="H60" s="6">
        <v>2025</v>
      </c>
      <c r="I60" s="6" t="s">
        <v>41</v>
      </c>
      <c r="J60" s="22" t="s">
        <v>328</v>
      </c>
      <c r="K60" s="6" t="s">
        <v>33</v>
      </c>
      <c r="L60" s="6" t="s">
        <v>50</v>
      </c>
      <c r="M60" s="6" t="s">
        <v>44</v>
      </c>
      <c r="N60" s="6"/>
      <c r="O60" s="6" t="s">
        <v>329</v>
      </c>
      <c r="P60" s="6"/>
      <c r="Q60" s="6"/>
      <c r="R60" s="6" t="s">
        <v>330</v>
      </c>
      <c r="S60" s="7"/>
      <c r="T60" s="6" t="s">
        <v>255</v>
      </c>
      <c r="U60" t="s">
        <v>61</v>
      </c>
      <c r="V60" s="23" t="s">
        <v>331</v>
      </c>
    </row>
    <row r="61" spans="1:22" ht="21.75" customHeight="1">
      <c r="A61" s="5" t="str">
        <f t="shared" si="2"/>
        <v>MFL-2026-056</v>
      </c>
      <c r="B61" s="6" t="s">
        <v>332</v>
      </c>
      <c r="C61" s="6" t="s">
        <v>62</v>
      </c>
      <c r="D61" s="6" t="s">
        <v>78</v>
      </c>
      <c r="E61" s="6" t="s">
        <v>320</v>
      </c>
      <c r="F61" s="6" t="s">
        <v>31</v>
      </c>
      <c r="G61" s="6" t="s">
        <v>333</v>
      </c>
      <c r="H61" s="6">
        <v>2023</v>
      </c>
      <c r="I61" s="6" t="s">
        <v>41</v>
      </c>
      <c r="J61" s="22" t="s">
        <v>328</v>
      </c>
      <c r="K61" s="6" t="s">
        <v>33</v>
      </c>
      <c r="L61" s="6" t="s">
        <v>50</v>
      </c>
      <c r="M61" s="6" t="s">
        <v>44</v>
      </c>
      <c r="N61" s="6"/>
      <c r="O61" s="6" t="s">
        <v>329</v>
      </c>
      <c r="P61" s="6"/>
      <c r="Q61" s="6"/>
      <c r="R61" s="6" t="s">
        <v>334</v>
      </c>
      <c r="S61" s="7"/>
      <c r="T61" s="6" t="s">
        <v>255</v>
      </c>
      <c r="U61" t="s">
        <v>61</v>
      </c>
      <c r="V61" s="23" t="s">
        <v>331</v>
      </c>
    </row>
    <row r="62" spans="1:22" ht="21.75" customHeight="1">
      <c r="A62" s="5" t="str">
        <f t="shared" si="2"/>
        <v>MFL-2026-057</v>
      </c>
      <c r="B62" s="6" t="s">
        <v>335</v>
      </c>
      <c r="C62" s="6" t="s">
        <v>80</v>
      </c>
      <c r="D62" s="6" t="s">
        <v>78</v>
      </c>
      <c r="E62" s="6" t="s">
        <v>320</v>
      </c>
      <c r="F62" s="6" t="s">
        <v>31</v>
      </c>
      <c r="G62" s="6" t="s">
        <v>336</v>
      </c>
      <c r="H62" s="6">
        <v>2023</v>
      </c>
      <c r="I62" s="6" t="s">
        <v>41</v>
      </c>
      <c r="J62" s="22" t="s">
        <v>328</v>
      </c>
      <c r="K62" s="6" t="s">
        <v>33</v>
      </c>
      <c r="L62" s="6" t="s">
        <v>50</v>
      </c>
      <c r="M62" s="6" t="s">
        <v>44</v>
      </c>
      <c r="N62" s="6"/>
      <c r="O62" s="6" t="s">
        <v>329</v>
      </c>
      <c r="P62" s="6"/>
      <c r="Q62" s="6"/>
      <c r="R62" s="6" t="s">
        <v>337</v>
      </c>
      <c r="S62" s="7"/>
      <c r="T62" s="6" t="s">
        <v>255</v>
      </c>
      <c r="U62" t="s">
        <v>61</v>
      </c>
      <c r="V62" s="23" t="s">
        <v>331</v>
      </c>
    </row>
    <row r="63" spans="1:22" ht="21.75" customHeight="1">
      <c r="A63" s="5" t="str">
        <f t="shared" si="2"/>
        <v/>
      </c>
      <c r="B63" s="6"/>
      <c r="C63" s="6"/>
      <c r="D63" s="6"/>
      <c r="E63" s="6"/>
      <c r="F63" s="6"/>
      <c r="G63" s="6"/>
      <c r="H63" s="6"/>
      <c r="I63" s="6"/>
      <c r="J63" s="6"/>
      <c r="K63" s="6"/>
      <c r="L63" s="6"/>
      <c r="M63" s="6"/>
      <c r="N63" s="6"/>
      <c r="O63" s="6"/>
      <c r="P63" s="6"/>
      <c r="Q63" s="6"/>
      <c r="R63" s="6"/>
      <c r="S63" s="7"/>
      <c r="T63" s="6"/>
    </row>
    <row r="64" spans="1:22" ht="21.75" customHeight="1">
      <c r="A64" s="5" t="str">
        <f t="shared" si="2"/>
        <v/>
      </c>
      <c r="B64" s="6"/>
      <c r="C64" s="6"/>
      <c r="D64" s="6"/>
      <c r="E64" s="6"/>
      <c r="F64" s="6"/>
      <c r="G64" s="6"/>
      <c r="H64" s="6"/>
      <c r="I64" s="6"/>
      <c r="J64" s="6"/>
      <c r="K64" s="6"/>
      <c r="L64" s="6"/>
      <c r="M64" s="6"/>
      <c r="N64" s="6"/>
      <c r="O64" s="6"/>
      <c r="P64" s="6"/>
      <c r="Q64" s="6"/>
      <c r="R64" s="6"/>
      <c r="S64" s="7"/>
      <c r="T64" s="6"/>
    </row>
    <row r="65" spans="1:20" ht="21.75" customHeight="1">
      <c r="A65" s="5" t="str">
        <f t="shared" si="2"/>
        <v/>
      </c>
      <c r="B65" s="6"/>
      <c r="C65" s="6"/>
      <c r="D65" s="6"/>
      <c r="E65" s="6"/>
      <c r="F65" s="6"/>
      <c r="G65" s="6"/>
      <c r="H65" s="6"/>
      <c r="I65" s="6"/>
      <c r="J65" s="6"/>
      <c r="K65" s="6"/>
      <c r="L65" s="6"/>
      <c r="M65" s="6"/>
      <c r="N65" s="6"/>
      <c r="O65" s="6"/>
      <c r="P65" s="6"/>
      <c r="Q65" s="6"/>
      <c r="R65" s="6"/>
      <c r="S65" s="7"/>
      <c r="T65" s="6"/>
    </row>
    <row r="66" spans="1:20" ht="21.75" customHeight="1">
      <c r="A66" s="5" t="str">
        <f t="shared" si="2"/>
        <v/>
      </c>
      <c r="B66" s="6"/>
      <c r="C66" s="6"/>
      <c r="D66" s="6"/>
      <c r="E66" s="6"/>
      <c r="F66" s="6"/>
      <c r="G66" s="6"/>
      <c r="H66" s="6"/>
      <c r="I66" s="6"/>
      <c r="J66" s="6"/>
      <c r="K66" s="6"/>
      <c r="L66" s="6"/>
      <c r="M66" s="6"/>
      <c r="N66" s="6"/>
      <c r="O66" s="6"/>
      <c r="P66" s="6"/>
      <c r="Q66" s="6"/>
      <c r="R66" s="6"/>
      <c r="S66" s="7"/>
      <c r="T66" s="6"/>
    </row>
    <row r="67" spans="1:20" ht="21.75" customHeight="1">
      <c r="A67" s="5" t="str">
        <f t="shared" si="2"/>
        <v/>
      </c>
      <c r="B67" s="6"/>
      <c r="C67" s="6"/>
      <c r="D67" s="6"/>
      <c r="E67" s="6"/>
      <c r="F67" s="6"/>
      <c r="G67" s="6"/>
      <c r="H67" s="6"/>
      <c r="I67" s="6"/>
      <c r="J67" s="6"/>
      <c r="K67" s="6"/>
      <c r="L67" s="6"/>
      <c r="M67" s="6"/>
      <c r="N67" s="6"/>
      <c r="O67" s="6"/>
      <c r="P67" s="6"/>
      <c r="Q67" s="6"/>
      <c r="R67" s="6"/>
      <c r="S67" s="7"/>
      <c r="T67" s="6"/>
    </row>
    <row r="68" spans="1:20" ht="21.75" customHeight="1">
      <c r="A68" s="5" t="str">
        <f t="shared" ref="A68:A99" si="3">IF(B68&lt;&gt;"","MFL-2026-"&amp;TEXT(ROW()-5,"000"),"")</f>
        <v/>
      </c>
      <c r="B68" s="6"/>
      <c r="C68" s="6"/>
      <c r="D68" s="6"/>
      <c r="E68" s="6"/>
      <c r="F68" s="6"/>
      <c r="G68" s="6"/>
      <c r="H68" s="6"/>
      <c r="I68" s="6"/>
      <c r="J68" s="6"/>
      <c r="K68" s="6"/>
      <c r="L68" s="6"/>
      <c r="M68" s="6"/>
      <c r="N68" s="6"/>
      <c r="O68" s="6"/>
      <c r="P68" s="6"/>
      <c r="Q68" s="6"/>
      <c r="R68" s="6"/>
      <c r="S68" s="7"/>
      <c r="T68" s="6"/>
    </row>
    <row r="69" spans="1:20" ht="21.75" customHeight="1">
      <c r="A69" s="5" t="str">
        <f t="shared" si="3"/>
        <v/>
      </c>
      <c r="B69" s="6"/>
      <c r="C69" s="6"/>
      <c r="D69" s="6"/>
      <c r="E69" s="6"/>
      <c r="F69" s="6"/>
      <c r="G69" s="6"/>
      <c r="H69" s="6"/>
      <c r="I69" s="6"/>
      <c r="J69" s="6"/>
      <c r="K69" s="6"/>
      <c r="L69" s="6"/>
      <c r="M69" s="6"/>
      <c r="N69" s="6"/>
      <c r="O69" s="6"/>
      <c r="P69" s="6"/>
      <c r="Q69" s="6"/>
      <c r="R69" s="6"/>
      <c r="S69" s="7"/>
      <c r="T69" s="6"/>
    </row>
    <row r="70" spans="1:20" ht="21.75" customHeight="1">
      <c r="A70" s="5" t="str">
        <f t="shared" si="3"/>
        <v/>
      </c>
      <c r="B70" s="6"/>
      <c r="C70" s="6"/>
      <c r="D70" s="6"/>
      <c r="E70" s="6"/>
      <c r="F70" s="6"/>
      <c r="G70" s="6"/>
      <c r="H70" s="6"/>
      <c r="I70" s="6"/>
      <c r="J70" s="6"/>
      <c r="K70" s="6"/>
      <c r="L70" s="6"/>
      <c r="M70" s="6"/>
      <c r="N70" s="6"/>
      <c r="O70" s="6"/>
      <c r="P70" s="6"/>
      <c r="Q70" s="6"/>
      <c r="R70" s="6"/>
      <c r="S70" s="7"/>
      <c r="T70" s="6"/>
    </row>
    <row r="71" spans="1:20" ht="21.75" customHeight="1">
      <c r="A71" s="5" t="str">
        <f t="shared" si="3"/>
        <v/>
      </c>
      <c r="B71" s="6"/>
      <c r="C71" s="6"/>
      <c r="D71" s="6"/>
      <c r="E71" s="6"/>
      <c r="F71" s="6"/>
      <c r="G71" s="6"/>
      <c r="H71" s="6"/>
      <c r="I71" s="6"/>
      <c r="J71" s="6"/>
      <c r="K71" s="6"/>
      <c r="L71" s="6"/>
      <c r="M71" s="6"/>
      <c r="N71" s="6"/>
      <c r="O71" s="6"/>
      <c r="P71" s="6"/>
      <c r="Q71" s="6"/>
      <c r="R71" s="6"/>
      <c r="S71" s="7"/>
      <c r="T71" s="6"/>
    </row>
    <row r="72" spans="1:20" ht="21.75" customHeight="1">
      <c r="A72" s="5" t="str">
        <f t="shared" si="3"/>
        <v/>
      </c>
      <c r="B72" s="6"/>
      <c r="C72" s="6"/>
      <c r="D72" s="6"/>
      <c r="E72" s="6"/>
      <c r="F72" s="6"/>
      <c r="G72" s="6"/>
      <c r="H72" s="6"/>
      <c r="I72" s="6"/>
      <c r="J72" s="6"/>
      <c r="K72" s="6"/>
      <c r="L72" s="6"/>
      <c r="M72" s="6"/>
      <c r="N72" s="6"/>
      <c r="O72" s="6"/>
      <c r="P72" s="6"/>
      <c r="Q72" s="6"/>
      <c r="R72" s="6"/>
      <c r="S72" s="7"/>
      <c r="T72" s="6"/>
    </row>
    <row r="73" spans="1:20" ht="21.75" customHeight="1">
      <c r="A73" s="5" t="str">
        <f t="shared" si="3"/>
        <v/>
      </c>
      <c r="B73" s="6"/>
      <c r="C73" s="6"/>
      <c r="D73" s="6"/>
      <c r="E73" s="6"/>
      <c r="F73" s="6"/>
      <c r="G73" s="6"/>
      <c r="H73" s="6"/>
      <c r="I73" s="6"/>
      <c r="J73" s="6"/>
      <c r="K73" s="6"/>
      <c r="L73" s="6"/>
      <c r="M73" s="6"/>
      <c r="N73" s="6"/>
      <c r="O73" s="6"/>
      <c r="P73" s="6"/>
      <c r="Q73" s="6"/>
      <c r="R73" s="6"/>
      <c r="S73" s="7"/>
      <c r="T73" s="6"/>
    </row>
    <row r="74" spans="1:20" ht="21.75" customHeight="1">
      <c r="A74" s="5" t="str">
        <f t="shared" si="3"/>
        <v/>
      </c>
      <c r="B74" s="6"/>
      <c r="C74" s="6"/>
      <c r="D74" s="6"/>
      <c r="E74" s="6"/>
      <c r="F74" s="6"/>
      <c r="G74" s="6"/>
      <c r="H74" s="6"/>
      <c r="I74" s="6"/>
      <c r="J74" s="6"/>
      <c r="K74" s="6"/>
      <c r="L74" s="6"/>
      <c r="M74" s="6"/>
      <c r="N74" s="6"/>
      <c r="O74" s="6"/>
      <c r="P74" s="6"/>
      <c r="Q74" s="6"/>
      <c r="R74" s="6"/>
      <c r="S74" s="7"/>
      <c r="T74" s="6"/>
    </row>
    <row r="75" spans="1:20" ht="21.75" customHeight="1">
      <c r="A75" s="5" t="str">
        <f t="shared" si="3"/>
        <v/>
      </c>
      <c r="B75" s="6"/>
      <c r="C75" s="6"/>
      <c r="D75" s="6"/>
      <c r="E75" s="6"/>
      <c r="F75" s="6"/>
      <c r="G75" s="6"/>
      <c r="H75" s="6"/>
      <c r="I75" s="6"/>
      <c r="J75" s="6"/>
      <c r="K75" s="6"/>
      <c r="L75" s="6"/>
      <c r="M75" s="6"/>
      <c r="N75" s="6"/>
      <c r="O75" s="6"/>
      <c r="P75" s="6"/>
      <c r="Q75" s="6"/>
      <c r="R75" s="6"/>
      <c r="S75" s="7"/>
      <c r="T75" s="6"/>
    </row>
    <row r="76" spans="1:20" ht="21.75" customHeight="1">
      <c r="A76" s="5" t="str">
        <f t="shared" si="3"/>
        <v/>
      </c>
      <c r="B76" s="6"/>
      <c r="C76" s="6"/>
      <c r="D76" s="6"/>
      <c r="E76" s="6"/>
      <c r="F76" s="6"/>
      <c r="G76" s="6"/>
      <c r="H76" s="6"/>
      <c r="I76" s="6"/>
      <c r="J76" s="6"/>
      <c r="K76" s="6"/>
      <c r="L76" s="6"/>
      <c r="M76" s="6"/>
      <c r="N76" s="6"/>
      <c r="O76" s="6"/>
      <c r="P76" s="6"/>
      <c r="Q76" s="6"/>
      <c r="R76" s="6"/>
      <c r="S76" s="7"/>
      <c r="T76" s="6"/>
    </row>
    <row r="77" spans="1:20" ht="21.75" customHeight="1">
      <c r="A77" s="5" t="str">
        <f t="shared" si="3"/>
        <v/>
      </c>
      <c r="B77" s="6"/>
      <c r="C77" s="6"/>
      <c r="D77" s="6"/>
      <c r="E77" s="6"/>
      <c r="F77" s="6"/>
      <c r="G77" s="6"/>
      <c r="H77" s="6"/>
      <c r="I77" s="6"/>
      <c r="J77" s="6"/>
      <c r="K77" s="6"/>
      <c r="L77" s="6"/>
      <c r="M77" s="6"/>
      <c r="N77" s="6"/>
      <c r="O77" s="6"/>
      <c r="P77" s="6"/>
      <c r="Q77" s="6"/>
      <c r="R77" s="6"/>
      <c r="S77" s="7"/>
      <c r="T77" s="6"/>
    </row>
    <row r="78" spans="1:20" ht="21.75" customHeight="1">
      <c r="A78" s="5" t="str">
        <f t="shared" si="3"/>
        <v/>
      </c>
      <c r="B78" s="6"/>
      <c r="C78" s="6"/>
      <c r="D78" s="6"/>
      <c r="E78" s="6"/>
      <c r="F78" s="6"/>
      <c r="G78" s="6"/>
      <c r="H78" s="6"/>
      <c r="I78" s="6"/>
      <c r="J78" s="6"/>
      <c r="K78" s="6"/>
      <c r="L78" s="6"/>
      <c r="M78" s="6"/>
      <c r="N78" s="6"/>
      <c r="O78" s="6"/>
      <c r="P78" s="6"/>
      <c r="Q78" s="6"/>
      <c r="R78" s="6"/>
      <c r="S78" s="7"/>
      <c r="T78" s="6"/>
    </row>
    <row r="79" spans="1:20" ht="21.75" customHeight="1">
      <c r="A79" s="5" t="str">
        <f t="shared" si="3"/>
        <v/>
      </c>
      <c r="B79" s="6"/>
      <c r="C79" s="6"/>
      <c r="D79" s="6"/>
      <c r="E79" s="6"/>
      <c r="F79" s="6"/>
      <c r="G79" s="6"/>
      <c r="H79" s="6"/>
      <c r="I79" s="6"/>
      <c r="J79" s="6"/>
      <c r="K79" s="6"/>
      <c r="L79" s="6"/>
      <c r="M79" s="6"/>
      <c r="N79" s="6"/>
      <c r="O79" s="6"/>
      <c r="P79" s="6"/>
      <c r="Q79" s="6"/>
      <c r="R79" s="6"/>
      <c r="S79" s="7"/>
      <c r="T79" s="6"/>
    </row>
    <row r="80" spans="1:20" ht="21.75" customHeight="1">
      <c r="A80" s="5" t="str">
        <f t="shared" si="3"/>
        <v/>
      </c>
      <c r="B80" s="6"/>
      <c r="C80" s="6"/>
      <c r="D80" s="6"/>
      <c r="E80" s="6"/>
      <c r="F80" s="6"/>
      <c r="G80" s="6"/>
      <c r="H80" s="6"/>
      <c r="I80" s="6"/>
      <c r="J80" s="6"/>
      <c r="K80" s="6"/>
      <c r="L80" s="6"/>
      <c r="M80" s="6"/>
      <c r="N80" s="6"/>
      <c r="O80" s="6"/>
      <c r="P80" s="6"/>
      <c r="Q80" s="6"/>
      <c r="R80" s="6"/>
      <c r="S80" s="7"/>
      <c r="T80" s="6"/>
    </row>
    <row r="81" spans="1:20" ht="21.75" customHeight="1">
      <c r="A81" s="5" t="str">
        <f t="shared" si="3"/>
        <v/>
      </c>
      <c r="B81" s="6"/>
      <c r="C81" s="6"/>
      <c r="D81" s="6"/>
      <c r="E81" s="6"/>
      <c r="F81" s="6"/>
      <c r="G81" s="6"/>
      <c r="H81" s="6"/>
      <c r="I81" s="6"/>
      <c r="J81" s="6"/>
      <c r="K81" s="6"/>
      <c r="L81" s="6"/>
      <c r="M81" s="6"/>
      <c r="N81" s="6"/>
      <c r="O81" s="6"/>
      <c r="P81" s="6"/>
      <c r="Q81" s="6"/>
      <c r="R81" s="6"/>
      <c r="S81" s="7"/>
      <c r="T81" s="6"/>
    </row>
    <row r="82" spans="1:20" ht="21.75" customHeight="1">
      <c r="A82" s="5" t="str">
        <f t="shared" si="3"/>
        <v/>
      </c>
      <c r="B82" s="6"/>
      <c r="C82" s="6"/>
      <c r="D82" s="6"/>
      <c r="E82" s="6"/>
      <c r="F82" s="6"/>
      <c r="G82" s="6"/>
      <c r="H82" s="6"/>
      <c r="I82" s="6"/>
      <c r="J82" s="6"/>
      <c r="K82" s="6"/>
      <c r="L82" s="6"/>
      <c r="M82" s="6"/>
      <c r="N82" s="6"/>
      <c r="O82" s="6"/>
      <c r="P82" s="6"/>
      <c r="Q82" s="6"/>
      <c r="R82" s="6"/>
      <c r="S82" s="7"/>
      <c r="T82" s="6"/>
    </row>
    <row r="83" spans="1:20" ht="21.75" customHeight="1">
      <c r="A83" s="5" t="str">
        <f t="shared" si="3"/>
        <v/>
      </c>
      <c r="B83" s="6"/>
      <c r="C83" s="6"/>
      <c r="D83" s="6"/>
      <c r="E83" s="6"/>
      <c r="F83" s="6"/>
      <c r="G83" s="6"/>
      <c r="H83" s="6"/>
      <c r="I83" s="6"/>
      <c r="J83" s="6"/>
      <c r="K83" s="6"/>
      <c r="L83" s="6"/>
      <c r="M83" s="6"/>
      <c r="N83" s="6"/>
      <c r="O83" s="6"/>
      <c r="P83" s="6"/>
      <c r="Q83" s="6"/>
      <c r="R83" s="6"/>
      <c r="S83" s="7"/>
      <c r="T83" s="6"/>
    </row>
    <row r="84" spans="1:20" ht="21.75" customHeight="1">
      <c r="A84" s="5" t="str">
        <f t="shared" si="3"/>
        <v/>
      </c>
      <c r="B84" s="6"/>
      <c r="C84" s="6"/>
      <c r="D84" s="6"/>
      <c r="E84" s="6"/>
      <c r="F84" s="6"/>
      <c r="G84" s="6"/>
      <c r="H84" s="6"/>
      <c r="I84" s="6"/>
      <c r="J84" s="6"/>
      <c r="K84" s="6"/>
      <c r="L84" s="6"/>
      <c r="M84" s="6"/>
      <c r="N84" s="6"/>
      <c r="O84" s="6"/>
      <c r="P84" s="6"/>
      <c r="Q84" s="6"/>
      <c r="R84" s="6"/>
      <c r="S84" s="7"/>
      <c r="T84" s="6"/>
    </row>
    <row r="85" spans="1:20" ht="21.75" customHeight="1">
      <c r="A85" s="5" t="str">
        <f t="shared" si="3"/>
        <v/>
      </c>
      <c r="B85" s="6"/>
      <c r="C85" s="6"/>
      <c r="D85" s="6"/>
      <c r="E85" s="6"/>
      <c r="F85" s="6"/>
      <c r="G85" s="6"/>
      <c r="H85" s="6"/>
      <c r="I85" s="6"/>
      <c r="J85" s="6"/>
      <c r="K85" s="6"/>
      <c r="L85" s="6"/>
      <c r="M85" s="6"/>
      <c r="N85" s="6"/>
      <c r="O85" s="6"/>
      <c r="P85" s="6"/>
      <c r="Q85" s="6"/>
      <c r="R85" s="6"/>
      <c r="S85" s="7"/>
      <c r="T85" s="6"/>
    </row>
    <row r="86" spans="1:20" ht="21.75" customHeight="1">
      <c r="A86" s="5" t="str">
        <f t="shared" si="3"/>
        <v/>
      </c>
      <c r="B86" s="6"/>
      <c r="C86" s="6"/>
      <c r="D86" s="6"/>
      <c r="E86" s="6"/>
      <c r="F86" s="6"/>
      <c r="G86" s="6"/>
      <c r="H86" s="6"/>
      <c r="I86" s="6"/>
      <c r="J86" s="6"/>
      <c r="K86" s="6"/>
      <c r="L86" s="6"/>
      <c r="M86" s="6"/>
      <c r="N86" s="6"/>
      <c r="O86" s="6"/>
      <c r="P86" s="6"/>
      <c r="Q86" s="6"/>
      <c r="R86" s="6"/>
      <c r="S86" s="7"/>
      <c r="T86" s="6"/>
    </row>
    <row r="87" spans="1:20" ht="21.75" customHeight="1">
      <c r="A87" s="5" t="str">
        <f t="shared" si="3"/>
        <v/>
      </c>
      <c r="B87" s="6"/>
      <c r="C87" s="6"/>
      <c r="D87" s="6"/>
      <c r="E87" s="6"/>
      <c r="F87" s="6"/>
      <c r="G87" s="6"/>
      <c r="H87" s="6"/>
      <c r="I87" s="6"/>
      <c r="J87" s="6"/>
      <c r="K87" s="6"/>
      <c r="L87" s="6"/>
      <c r="M87" s="6"/>
      <c r="N87" s="6"/>
      <c r="O87" s="6"/>
      <c r="P87" s="6"/>
      <c r="Q87" s="6"/>
      <c r="R87" s="6"/>
      <c r="S87" s="7"/>
      <c r="T87" s="6"/>
    </row>
    <row r="88" spans="1:20" ht="21.75" customHeight="1">
      <c r="A88" s="5" t="str">
        <f t="shared" si="3"/>
        <v/>
      </c>
      <c r="B88" s="6"/>
      <c r="C88" s="6"/>
      <c r="D88" s="6"/>
      <c r="E88" s="6"/>
      <c r="F88" s="6"/>
      <c r="G88" s="6"/>
      <c r="H88" s="6"/>
      <c r="I88" s="6"/>
      <c r="J88" s="6"/>
      <c r="K88" s="6"/>
      <c r="L88" s="6"/>
      <c r="M88" s="6"/>
      <c r="N88" s="6"/>
      <c r="O88" s="6"/>
      <c r="P88" s="6"/>
      <c r="Q88" s="6"/>
      <c r="R88" s="6"/>
      <c r="S88" s="7"/>
      <c r="T88" s="6"/>
    </row>
    <row r="89" spans="1:20" ht="21.75" customHeight="1">
      <c r="A89" s="5" t="str">
        <f t="shared" si="3"/>
        <v/>
      </c>
      <c r="B89" s="6"/>
      <c r="C89" s="6"/>
      <c r="D89" s="6"/>
      <c r="E89" s="6"/>
      <c r="F89" s="6"/>
      <c r="G89" s="6"/>
      <c r="H89" s="6"/>
      <c r="I89" s="6"/>
      <c r="J89" s="6"/>
      <c r="K89" s="6"/>
      <c r="L89" s="6"/>
      <c r="M89" s="6"/>
      <c r="N89" s="6"/>
      <c r="O89" s="6"/>
      <c r="P89" s="6"/>
      <c r="Q89" s="6"/>
      <c r="R89" s="6"/>
      <c r="S89" s="7"/>
      <c r="T89" s="6"/>
    </row>
    <row r="90" spans="1:20" ht="21.75" customHeight="1">
      <c r="A90" s="5" t="str">
        <f t="shared" si="3"/>
        <v/>
      </c>
      <c r="B90" s="6"/>
      <c r="C90" s="6"/>
      <c r="D90" s="6"/>
      <c r="E90" s="6"/>
      <c r="F90" s="6"/>
      <c r="G90" s="6"/>
      <c r="H90" s="6"/>
      <c r="I90" s="6"/>
      <c r="J90" s="6"/>
      <c r="K90" s="6"/>
      <c r="L90" s="6"/>
      <c r="M90" s="6"/>
      <c r="N90" s="6"/>
      <c r="O90" s="6"/>
      <c r="P90" s="6"/>
      <c r="Q90" s="6"/>
      <c r="R90" s="6"/>
      <c r="S90" s="7"/>
      <c r="T90" s="6"/>
    </row>
    <row r="91" spans="1:20" ht="21.75" customHeight="1">
      <c r="A91" s="5" t="str">
        <f t="shared" si="3"/>
        <v/>
      </c>
      <c r="B91" s="6"/>
      <c r="C91" s="6"/>
      <c r="D91" s="6"/>
      <c r="E91" s="6"/>
      <c r="F91" s="6"/>
      <c r="G91" s="6"/>
      <c r="H91" s="6"/>
      <c r="I91" s="6"/>
      <c r="J91" s="6"/>
      <c r="K91" s="6"/>
      <c r="L91" s="6"/>
      <c r="M91" s="6"/>
      <c r="N91" s="6"/>
      <c r="O91" s="6"/>
      <c r="P91" s="6"/>
      <c r="Q91" s="6"/>
      <c r="R91" s="6"/>
      <c r="S91" s="7"/>
      <c r="T91" s="6"/>
    </row>
    <row r="92" spans="1:20" ht="21.75" customHeight="1">
      <c r="A92" s="5" t="str">
        <f t="shared" si="3"/>
        <v/>
      </c>
      <c r="B92" s="6"/>
      <c r="C92" s="6"/>
      <c r="D92" s="6"/>
      <c r="E92" s="6"/>
      <c r="F92" s="6"/>
      <c r="G92" s="6"/>
      <c r="H92" s="6"/>
      <c r="I92" s="6"/>
      <c r="J92" s="6"/>
      <c r="K92" s="6"/>
      <c r="L92" s="6"/>
      <c r="M92" s="6"/>
      <c r="N92" s="6"/>
      <c r="O92" s="6"/>
      <c r="P92" s="6"/>
      <c r="Q92" s="6"/>
      <c r="R92" s="6"/>
      <c r="S92" s="7"/>
      <c r="T92" s="6"/>
    </row>
    <row r="93" spans="1:20" ht="21.75" customHeight="1">
      <c r="A93" s="5" t="str">
        <f t="shared" si="3"/>
        <v/>
      </c>
      <c r="B93" s="6"/>
      <c r="C93" s="6"/>
      <c r="D93" s="6"/>
      <c r="E93" s="6"/>
      <c r="F93" s="6"/>
      <c r="G93" s="6"/>
      <c r="H93" s="6"/>
      <c r="I93" s="6"/>
      <c r="J93" s="6"/>
      <c r="K93" s="6"/>
      <c r="L93" s="6"/>
      <c r="M93" s="6"/>
      <c r="N93" s="6"/>
      <c r="O93" s="6"/>
      <c r="P93" s="6"/>
      <c r="Q93" s="6"/>
      <c r="R93" s="6"/>
      <c r="S93" s="7"/>
      <c r="T93" s="6"/>
    </row>
    <row r="94" spans="1:20" ht="21.75" customHeight="1">
      <c r="A94" s="5" t="str">
        <f t="shared" si="3"/>
        <v/>
      </c>
      <c r="B94" s="6"/>
      <c r="C94" s="6"/>
      <c r="D94" s="6"/>
      <c r="E94" s="6"/>
      <c r="F94" s="6"/>
      <c r="G94" s="6"/>
      <c r="H94" s="6"/>
      <c r="I94" s="6"/>
      <c r="J94" s="6"/>
      <c r="K94" s="6"/>
      <c r="L94" s="6"/>
      <c r="M94" s="6"/>
      <c r="N94" s="6"/>
      <c r="O94" s="6"/>
      <c r="P94" s="6"/>
      <c r="Q94" s="6"/>
      <c r="R94" s="6"/>
      <c r="S94" s="7"/>
      <c r="T94" s="6"/>
    </row>
    <row r="95" spans="1:20" ht="21.75" customHeight="1">
      <c r="A95" s="5" t="str">
        <f t="shared" si="3"/>
        <v/>
      </c>
      <c r="B95" s="6"/>
      <c r="C95" s="6"/>
      <c r="D95" s="6"/>
      <c r="E95" s="6"/>
      <c r="F95" s="6"/>
      <c r="G95" s="6"/>
      <c r="H95" s="6"/>
      <c r="I95" s="6"/>
      <c r="J95" s="6"/>
      <c r="K95" s="6"/>
      <c r="L95" s="6"/>
      <c r="M95" s="6"/>
      <c r="N95" s="6"/>
      <c r="O95" s="6"/>
      <c r="P95" s="6"/>
      <c r="Q95" s="6"/>
      <c r="R95" s="6"/>
      <c r="S95" s="7"/>
      <c r="T95" s="6"/>
    </row>
    <row r="96" spans="1:20" ht="21.75" customHeight="1">
      <c r="A96" s="5" t="str">
        <f t="shared" si="3"/>
        <v/>
      </c>
      <c r="B96" s="6"/>
      <c r="C96" s="6"/>
      <c r="D96" s="6"/>
      <c r="E96" s="6"/>
      <c r="F96" s="6"/>
      <c r="G96" s="6"/>
      <c r="H96" s="6"/>
      <c r="I96" s="6"/>
      <c r="J96" s="6"/>
      <c r="K96" s="6"/>
      <c r="L96" s="6"/>
      <c r="M96" s="6"/>
      <c r="N96" s="6"/>
      <c r="O96" s="6"/>
      <c r="P96" s="6"/>
      <c r="Q96" s="6"/>
      <c r="R96" s="6"/>
      <c r="S96" s="7"/>
      <c r="T96" s="6"/>
    </row>
    <row r="97" spans="1:20" ht="21.75" customHeight="1">
      <c r="A97" s="5" t="str">
        <f t="shared" si="3"/>
        <v/>
      </c>
      <c r="B97" s="6"/>
      <c r="C97" s="6"/>
      <c r="D97" s="6"/>
      <c r="E97" s="6"/>
      <c r="F97" s="6"/>
      <c r="G97" s="6"/>
      <c r="H97" s="6"/>
      <c r="I97" s="6"/>
      <c r="J97" s="6"/>
      <c r="K97" s="6"/>
      <c r="L97" s="6"/>
      <c r="M97" s="6"/>
      <c r="N97" s="6"/>
      <c r="O97" s="6"/>
      <c r="P97" s="6"/>
      <c r="Q97" s="6"/>
      <c r="R97" s="6"/>
      <c r="S97" s="7"/>
      <c r="T97" s="6"/>
    </row>
    <row r="98" spans="1:20" ht="21.75" customHeight="1">
      <c r="A98" s="5" t="str">
        <f t="shared" si="3"/>
        <v/>
      </c>
      <c r="B98" s="6"/>
      <c r="C98" s="6"/>
      <c r="D98" s="6"/>
      <c r="E98" s="6"/>
      <c r="F98" s="6"/>
      <c r="G98" s="6"/>
      <c r="H98" s="6"/>
      <c r="I98" s="6"/>
      <c r="J98" s="6"/>
      <c r="K98" s="6"/>
      <c r="L98" s="6"/>
      <c r="M98" s="6"/>
      <c r="N98" s="6"/>
      <c r="O98" s="6"/>
      <c r="P98" s="6"/>
      <c r="Q98" s="6"/>
      <c r="R98" s="6"/>
      <c r="S98" s="7"/>
      <c r="T98" s="6"/>
    </row>
    <row r="99" spans="1:20" ht="21.75" customHeight="1">
      <c r="A99" s="5" t="str">
        <f t="shared" si="3"/>
        <v/>
      </c>
      <c r="B99" s="6"/>
      <c r="C99" s="6"/>
      <c r="D99" s="6"/>
      <c r="E99" s="6"/>
      <c r="F99" s="6"/>
      <c r="G99" s="6"/>
      <c r="H99" s="6"/>
      <c r="I99" s="6"/>
      <c r="J99" s="6"/>
      <c r="K99" s="6"/>
      <c r="L99" s="6"/>
      <c r="M99" s="6"/>
      <c r="N99" s="6"/>
      <c r="O99" s="6"/>
      <c r="P99" s="6"/>
      <c r="Q99" s="6"/>
      <c r="R99" s="6"/>
      <c r="S99" s="7"/>
      <c r="T99" s="6"/>
    </row>
    <row r="100" spans="1:20" ht="21.75" customHeight="1">
      <c r="A100" s="5" t="str">
        <f t="shared" ref="A100:A103" si="4">IF(B100&lt;&gt;"","MFL-2026-"&amp;TEXT(ROW()-5,"000"),"")</f>
        <v/>
      </c>
      <c r="B100" s="6"/>
      <c r="C100" s="6"/>
      <c r="D100" s="6"/>
      <c r="E100" s="6"/>
      <c r="F100" s="6"/>
      <c r="G100" s="6"/>
      <c r="H100" s="6"/>
      <c r="I100" s="6"/>
      <c r="J100" s="6"/>
      <c r="K100" s="6"/>
      <c r="L100" s="6"/>
      <c r="M100" s="6"/>
      <c r="N100" s="6"/>
      <c r="O100" s="6"/>
      <c r="P100" s="6"/>
      <c r="Q100" s="6"/>
      <c r="R100" s="6"/>
      <c r="S100" s="7"/>
      <c r="T100" s="6"/>
    </row>
    <row r="101" spans="1:20" ht="21.75" customHeight="1">
      <c r="A101" s="5" t="str">
        <f t="shared" si="4"/>
        <v/>
      </c>
      <c r="B101" s="6"/>
      <c r="C101" s="6"/>
      <c r="D101" s="6"/>
      <c r="E101" s="6"/>
      <c r="F101" s="6"/>
      <c r="G101" s="6"/>
      <c r="H101" s="6"/>
      <c r="I101" s="6"/>
      <c r="J101" s="6"/>
      <c r="K101" s="6"/>
      <c r="L101" s="6"/>
      <c r="M101" s="6"/>
      <c r="N101" s="6"/>
      <c r="O101" s="6"/>
      <c r="P101" s="6"/>
      <c r="Q101" s="6"/>
      <c r="R101" s="6"/>
      <c r="S101" s="7"/>
      <c r="T101" s="6"/>
    </row>
    <row r="102" spans="1:20" ht="21.75" customHeight="1">
      <c r="A102" s="5" t="str">
        <f t="shared" si="4"/>
        <v/>
      </c>
      <c r="B102" s="6"/>
      <c r="C102" s="6"/>
      <c r="D102" s="6"/>
      <c r="E102" s="6"/>
      <c r="F102" s="6"/>
      <c r="G102" s="6"/>
      <c r="H102" s="6"/>
      <c r="I102" s="6"/>
      <c r="J102" s="6"/>
      <c r="K102" s="6"/>
      <c r="L102" s="6"/>
      <c r="M102" s="6"/>
      <c r="N102" s="6"/>
      <c r="O102" s="6"/>
      <c r="P102" s="6"/>
      <c r="Q102" s="6"/>
      <c r="R102" s="6"/>
      <c r="S102" s="7"/>
      <c r="T102" s="6"/>
    </row>
    <row r="103" spans="1:20" ht="21.75" customHeight="1">
      <c r="A103" s="5" t="str">
        <f t="shared" si="4"/>
        <v/>
      </c>
      <c r="B103" s="6"/>
      <c r="C103" s="6"/>
      <c r="D103" s="6"/>
      <c r="E103" s="6"/>
      <c r="F103" s="6"/>
      <c r="G103" s="6"/>
      <c r="H103" s="6"/>
      <c r="I103" s="6"/>
      <c r="J103" s="6"/>
      <c r="K103" s="6"/>
      <c r="L103" s="6"/>
      <c r="M103" s="6"/>
      <c r="N103" s="6"/>
      <c r="O103" s="6"/>
      <c r="P103" s="6"/>
      <c r="Q103" s="6"/>
      <c r="R103" s="6"/>
      <c r="S103" s="7"/>
      <c r="T103" s="6"/>
    </row>
  </sheetData>
  <autoFilter ref="A1:W103" xr:uid="{00000000-0001-0000-0200-000000000000}"/>
  <conditionalFormatting sqref="K3:K103">
    <cfRule type="expression" dxfId="4" priority="4">
      <formula>K3="Open"</formula>
    </cfRule>
    <cfRule type="expression" dxfId="3" priority="5">
      <formula>K3="Restricted"</formula>
    </cfRule>
  </conditionalFormatting>
  <conditionalFormatting sqref="M3:M103">
    <cfRule type="expression" dxfId="2" priority="6">
      <formula>M3="Validated"</formula>
    </cfRule>
  </conditionalFormatting>
  <conditionalFormatting sqref="P3:P103 T45:T46">
    <cfRule type="expression" dxfId="1" priority="2">
      <formula>P3="Migrated to Alliance server"</formula>
    </cfRule>
    <cfRule type="expression" dxfId="0" priority="3">
      <formula>P3="Registered only"</formula>
    </cfRule>
  </conditionalFormatting>
  <dataValidations count="1">
    <dataValidation type="list" allowBlank="1" showInputMessage="1" showErrorMessage="1" sqref="U3:U104" xr:uid="{15342391-DD17-C94E-AF35-CB2EDFF059FC}">
      <formula1>INDIRECT("Table11[Update frequency]")</formula1>
    </dataValidation>
  </dataValidations>
  <hyperlinks>
    <hyperlink ref="V4" r:id="rId1" display="https://drive.google.com/file/d/1CPV03S47s0asEJqdAozbNOT1lkgr0YkG/view?usp=sharing" xr:uid="{EE575484-D414-4E76-9E60-4D8302E7DCA0}"/>
    <hyperlink ref="V11" r:id="rId2" xr:uid="{09E2813A-A061-474E-AA31-7677F5947DF7}"/>
    <hyperlink ref="V15" r:id="rId3" display="https://zenodo.org/records/10846594" xr:uid="{5E3F7A1A-6C79-45A5-AE26-1A8AA97C1504}"/>
    <hyperlink ref="V16" r:id="rId4" display="https://github.com/core-stack-org/QGIS-Styles/blob/main/Tree%20Health/ccd_style.qml" xr:uid="{FD643362-EEAD-4A66-863A-EE80118FCED4}"/>
    <hyperlink ref="V18" r:id="rId5" xr:uid="{CFCF5EAC-0B44-4FC4-9D74-DF019B2D9356}"/>
    <hyperlink ref="J20" r:id="rId6" xr:uid="{156B5A73-68A4-475F-AE52-61B812F4DD53}"/>
    <hyperlink ref="J21:J27" r:id="rId7" display="dieyemohamadou@gmail.com " xr:uid="{39A237DE-8ADF-4E50-A1D9-754157318223}"/>
    <hyperlink ref="V20" r:id="rId8" location="mapCenter=-14.06266%2C13.65709%2C11.00&amp;mode=step&amp;timeExtent=2017%2C2022&amp;year=2023" xr:uid="{494CEF18-FBCB-492D-8BB8-ECC25B02354C}"/>
    <hyperlink ref="V24" r:id="rId9" xr:uid="{CA7152DD-C773-48EA-8A6E-FCAF427A99CA}"/>
    <hyperlink ref="V22" r:id="rId10" xr:uid="{12D3FDF3-C50B-40D3-AE6A-EB2556232045}"/>
    <hyperlink ref="V21" r:id="rId11" xr:uid="{B576EDCF-C090-4DC2-981D-3D48FFC4BF95}"/>
    <hyperlink ref="V27" r:id="rId12" xr:uid="{20F64780-B8CF-4543-B12D-DCC6A6FB0F00}"/>
    <hyperlink ref="J28" r:id="rId13" xr:uid="{ABAB8A78-766C-4449-AD76-39A4E337985C}"/>
    <hyperlink ref="J29" r:id="rId14" xr:uid="{EA2765CA-2258-4D81-AD86-82CBD0B069D3}"/>
    <hyperlink ref="J30" r:id="rId15" xr:uid="{10C22350-CC80-4FA3-A874-9028164CD38D}"/>
    <hyperlink ref="J31" r:id="rId16" xr:uid="{285AE4DD-EEC1-4984-B304-0578056C98AB}"/>
    <hyperlink ref="V31" r:id="rId17" xr:uid="{55DA1A22-33BD-4570-90C7-F86200B0A184}"/>
    <hyperlink ref="J32" r:id="rId18" xr:uid="{C2339D7C-DFEB-4CBA-9F9F-37DE420C6A3A}"/>
    <hyperlink ref="J33" r:id="rId19" xr:uid="{3775E51F-3D9A-4E93-9C7B-5F631D17161C}"/>
    <hyperlink ref="J34" r:id="rId20" xr:uid="{9439F7EF-1DE1-4F3C-9FE1-D6BDF82AC8A6}"/>
    <hyperlink ref="V35" r:id="rId21" xr:uid="{A0B7A8EE-72D9-4946-89CA-ACA7AF61B2DC}"/>
    <hyperlink ref="V36" r:id="rId22" xr:uid="{F527AC39-F996-43A5-94F5-7DFDDAB92853}"/>
    <hyperlink ref="V37" r:id="rId23" xr:uid="{B9608AAF-3AC2-4CF7-810C-6454C8106AD3}"/>
    <hyperlink ref="V28" r:id="rId24" xr:uid="{766E8AC4-4F6A-4D55-BF4F-44409377D402}"/>
    <hyperlink ref="J55" r:id="rId25" xr:uid="{C85E1F0E-EAAA-4AE0-9EB9-97D1E7D8B575}"/>
    <hyperlink ref="J56:J57" r:id="rId26" display="s.douangsavanh@cgiar.org" xr:uid="{8D5AC2B8-5364-4899-AFF8-06A53E5D0EBF}"/>
    <hyperlink ref="J58" r:id="rId27" xr:uid="{02B40A5F-BB98-4618-A8E4-C742BEA28637}"/>
    <hyperlink ref="J59" r:id="rId28" xr:uid="{2E7CAFA6-4B0C-4480-BA21-4FE070395C9D}"/>
    <hyperlink ref="J60" r:id="rId29" xr:uid="{DF432B3F-9473-4405-B242-08C32CC851DD}"/>
    <hyperlink ref="J61" r:id="rId30" xr:uid="{2020FBF0-A01A-4AE3-83CB-158FE9159E38}"/>
    <hyperlink ref="J62" r:id="rId31" xr:uid="{6ED3B670-F53C-406D-B226-2BA1B1DD3F42}"/>
    <hyperlink ref="V60" r:id="rId32" xr:uid="{29D7860D-14AD-422D-9EC1-85C0AAA51002}"/>
    <hyperlink ref="V61" r:id="rId33" xr:uid="{5B28F6D0-1E7F-4FE3-BE90-176A667FD899}"/>
    <hyperlink ref="V62" r:id="rId34" xr:uid="{F6EE52AE-3DB5-45F0-8F05-EB3B78462A5C}"/>
  </hyperlinks>
  <pageMargins left="0.75" right="0.75" top="1" bottom="1" header="0.511811023622047" footer="0.511811023622047"/>
  <pageSetup orientation="landscape" horizontalDpi="300" verticalDpi="300"/>
  <extLst>
    <ext xmlns:x14="http://schemas.microsoft.com/office/spreadsheetml/2009/9/main" uri="{CCE6A557-97BC-4b89-ADB6-D9C93CAAB3DF}">
      <x14:dataValidations xmlns:xm="http://schemas.microsoft.com/office/excel/2006/main" count="8">
        <x14:dataValidation type="list" allowBlank="1" showInputMessage="1" showErrorMessage="1" errorTitle="Invalid value" error="Please select a value from the dropdown list." promptTitle="Data type" prompt="Select the data type." xr:uid="{00000000-0002-0000-0200-000003000000}">
          <x14:formula1>
            <xm:f>Reference!$E$2:$E$5</xm:f>
          </x14:formula1>
          <x14:formula2>
            <xm:f>0</xm:f>
          </x14:formula2>
          <xm:sqref>F3:F52 F55:F103</xm:sqref>
        </x14:dataValidation>
        <x14:dataValidation type="list" allowBlank="1" showInputMessage="1" showErrorMessage="1" errorTitle="Invalid value" error="Please select a value from the dropdown list." promptTitle="MFL Theme" prompt="Select the most relevant MFL standard theme." xr:uid="{00000000-0002-0000-0200-000002000000}">
          <x14:formula1>
            <xm:f>Reference!$C$2:$C$14</xm:f>
          </x14:formula1>
          <x14:formula2>
            <xm:f>0</xm:f>
          </x14:formula2>
          <xm:sqref>D3:D52 D55:D103</xm:sqref>
        </x14:dataValidation>
        <x14:dataValidation type="list" allowBlank="1" showInputMessage="1" showErrorMessage="1" errorTitle="Invalid value" error="Please select a value from the dropdown list." promptTitle="Source / Centre" prompt="Select the CGIAR centre or data source." xr:uid="{00000000-0002-0000-0200-000004000000}">
          <x14:formula1>
            <xm:f>Reference!$G$2:$G$17</xm:f>
          </x14:formula1>
          <x14:formula2>
            <xm:f>0</xm:f>
          </x14:formula2>
          <xm:sqref>I3:I103</xm:sqref>
        </x14:dataValidation>
        <x14:dataValidation type="list" allowBlank="1" showInputMessage="1" showErrorMessage="1" errorTitle="Invalid value" error="Please select a value from the dropdown list." promptTitle="Access level" prompt="Select the access level for this dataset." xr:uid="{00000000-0002-0000-0200-000005000000}">
          <x14:formula1>
            <xm:f>Reference!$I$2:$I$4</xm:f>
          </x14:formula1>
          <x14:formula2>
            <xm:f>0</xm:f>
          </x14:formula2>
          <xm:sqref>K3:K103</xm:sqref>
        </x14:dataValidation>
        <x14:dataValidation type="list" allowBlank="1" showInputMessage="1" showErrorMessage="1" errorTitle="Invalid value" error="Please select a value from the dropdown list." promptTitle="License" prompt="Select the applicable license." xr:uid="{00000000-0002-0000-0200-000006000000}">
          <x14:formula1>
            <xm:f>Reference!$K$2:$K$6</xm:f>
          </x14:formula1>
          <x14:formula2>
            <xm:f>0</xm:f>
          </x14:formula2>
          <xm:sqref>L3:L103</xm:sqref>
        </x14:dataValidation>
        <x14:dataValidation type="list" allowBlank="1" showInputMessage="1" showErrorMessage="1" errorTitle="Invalid value" error="Please select a value from the dropdown list." promptTitle="Processing status" prompt="Select the processing status." xr:uid="{00000000-0002-0000-0200-000007000000}">
          <x14:formula1>
            <xm:f>Reference!$M$2:$M$4</xm:f>
          </x14:formula1>
          <x14:formula2>
            <xm:f>0</xm:f>
          </x14:formula2>
          <xm:sqref>M3:M103</xm:sqref>
        </x14:dataValidation>
        <x14:dataValidation type="list" allowBlank="1" showInputMessage="1" showErrorMessage="1" errorTitle="Invalid value" error="Please select a value from the dropdown list." promptTitle="Migration status" prompt="Has this dataset been uploaded to the Alliance server?" xr:uid="{00000000-0002-0000-0200-000008000000}">
          <x14:formula1>
            <xm:f>Reference!$O$2:$O$3</xm:f>
          </x14:formula1>
          <x14:formula2>
            <xm:f>0</xm:f>
          </x14:formula2>
          <xm:sqref>T45:T46 P3:P103</xm:sqref>
        </x14:dataValidation>
        <x14:dataValidation type="list" allowBlank="1" showInputMessage="1" showErrorMessage="1" errorTitle="Invalid value" error="Please select a value from the dropdown list." promptTitle="Country" prompt="Select the country." xr:uid="{EAAECBAF-DCB5-41AA-8B68-D0B9D46865EA}">
          <x14:formula1>
            <xm:f>Reference!$A$2:$A$14</xm:f>
          </x14:formula1>
          <xm:sqref>C3:C52 C55:C1048576</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59F63169AC1244C85F08B0265F4A59A" ma:contentTypeVersion="16" ma:contentTypeDescription="Create a new document." ma:contentTypeScope="" ma:versionID="011c72ebe5770ec5b7042a5b5ebcef9d">
  <xsd:schema xmlns:xsd="http://www.w3.org/2001/XMLSchema" xmlns:xs="http://www.w3.org/2001/XMLSchema" xmlns:p="http://schemas.microsoft.com/office/2006/metadata/properties" xmlns:ns2="db58012c-9640-4a3a-924f-deab5be782a6" xmlns:ns3="bf7a641c-0c0d-40c7-8e66-885eb134b9e2" targetNamespace="http://schemas.microsoft.com/office/2006/metadata/properties" ma:root="true" ma:fieldsID="9c90c730b88f8e515b3b7a8658226921" ns2:_="" ns3:_="">
    <xsd:import namespace="db58012c-9640-4a3a-924f-deab5be782a6"/>
    <xsd:import namespace="bf7a641c-0c0d-40c7-8e66-885eb134b9e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OCR"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b58012c-9640-4a3a-924f-deab5be782a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21" nillable="true" ma:displayName="Extracted Text" ma:internalName="MediaServiceOCR" ma:readOnly="true">
      <xsd:simpleType>
        <xsd:restriction base="dms:Note">
          <xsd:maxLength value="255"/>
        </xsd:restriction>
      </xsd:simpleType>
    </xsd:element>
    <xsd:element name="MediaServiceLocation" ma:index="22" nillable="true" ma:displayName="Loca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bf7a641c-0c0d-40c7-8e66-885eb134b9e2"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6e8440e9-f51c-4fa8-81cc-9c62584547c5}" ma:internalName="TaxCatchAll" ma:showField="CatchAllData" ma:web="bf7a641c-0c0d-40c7-8e66-885eb134b9e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db58012c-9640-4a3a-924f-deab5be782a6">
      <Terms xmlns="http://schemas.microsoft.com/office/infopath/2007/PartnerControls"/>
    </lcf76f155ced4ddcb4097134ff3c332f>
    <TaxCatchAll xmlns="bf7a641c-0c0d-40c7-8e66-885eb134b9e2"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4EA1934-48C2-4CEF-81C0-A50A7BD70912}"/>
</file>

<file path=customXml/itemProps2.xml><?xml version="1.0" encoding="utf-8"?>
<ds:datastoreItem xmlns:ds="http://schemas.openxmlformats.org/officeDocument/2006/customXml" ds:itemID="{7AFCA98D-9E6D-4782-AC92-2B0F613B4ACE}"/>
</file>

<file path=customXml/itemProps3.xml><?xml version="1.0" encoding="utf-8"?>
<ds:datastoreItem xmlns:ds="http://schemas.openxmlformats.org/officeDocument/2006/customXml" ds:itemID="{C3AB39CA-A025-4F75-B1CA-FC07E184565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Llanos Herrera, Lizeth (Alliance Bioversity-CIAT)</cp:lastModifiedBy>
  <cp:revision>0</cp:revision>
  <dcterms:created xsi:type="dcterms:W3CDTF">2026-05-19T08:59:04Z</dcterms:created>
  <dcterms:modified xsi:type="dcterms:W3CDTF">2026-06-18T15:41:22Z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0x010100D59F63169AC1244C85F08B0265F4A59A</vt:lpwstr>
  </property>
  <property fmtid="{D5CDD505-2E9C-101B-9397-08002B2CF9AE}" pid="3" name="MediaServiceImageTags">
    <vt:lpwstr/>
  </property>
</Properties>
</file>